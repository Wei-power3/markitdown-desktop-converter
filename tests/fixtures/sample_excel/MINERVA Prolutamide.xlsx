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4505" yWindow="45" windowWidth="14310" windowHeight="12495" tabRatio="479" activeTab="1"/>
  </bookViews>
  <sheets>
    <sheet name="Model" sheetId="15" r:id="rId1"/>
    <sheet name="Control" sheetId="12" r:id="rId2"/>
    <sheet name="Sales" sheetId="1" r:id="rId3"/>
    <sheet name="COG" sheetId="11" r:id="rId4"/>
    <sheet name="R&amp;D" sheetId="20" r:id="rId5"/>
    <sheet name="S&amp;M" sheetId="5" r:id="rId6"/>
    <sheet name="Project" sheetId="10" r:id="rId7"/>
    <sheet name="Lee &amp; Lor" sheetId="14" r:id="rId8"/>
    <sheet name="Lor Financials" sheetId="8" r:id="rId9"/>
    <sheet name="Benchmarks" sheetId="37" r:id="rId10"/>
  </sheets>
  <definedNames>
    <definedName name="_xlnm.Print_Area" localSheetId="3">COG!$A$1:$O$49</definedName>
    <definedName name="_xlnm.Print_Area" localSheetId="1">Control!$B$2:$Y$48</definedName>
    <definedName name="_xlnm.Print_Area" localSheetId="7">'Lee &amp; Lor'!$A$1:$R$58</definedName>
    <definedName name="_xlnm.Print_Area" localSheetId="8">'Lor Financials'!$A$1:$N$36</definedName>
    <definedName name="_xlnm.Print_Area" localSheetId="0">Model!$B$1:$N$36</definedName>
    <definedName name="_xlnm.Print_Area" localSheetId="6">Project!$A$1:$T$41</definedName>
    <definedName name="_xlnm.Print_Area" localSheetId="4">'R&amp;D'!$A$1:$P$38</definedName>
    <definedName name="_xlnm.Print_Area" localSheetId="5">'S&amp;M'!$A$1:$O$121</definedName>
    <definedName name="_xlnm.Print_Area" localSheetId="2">Sales!$A$130:$AD$145</definedName>
  </definedNames>
  <calcPr calcId="145621"/>
</workbook>
</file>

<file path=xl/calcChain.xml><?xml version="1.0" encoding="utf-8"?>
<calcChain xmlns="http://schemas.openxmlformats.org/spreadsheetml/2006/main">
  <c r="E42" i="8" l="1"/>
  <c r="D41" i="8"/>
  <c r="D25" i="14" l="1"/>
  <c r="J35" i="8" l="1"/>
  <c r="I35" i="8"/>
  <c r="H35" i="8"/>
  <c r="G35" i="8"/>
  <c r="F35" i="8"/>
  <c r="E35" i="8"/>
  <c r="D35" i="8"/>
  <c r="N35" i="8"/>
  <c r="M35" i="8"/>
  <c r="L35" i="8"/>
  <c r="K35" i="8"/>
  <c r="H40" i="8"/>
  <c r="G40" i="8"/>
  <c r="E40" i="8"/>
  <c r="F39" i="8"/>
  <c r="F40" i="8" s="1"/>
  <c r="H22" i="8"/>
  <c r="H23" i="8"/>
  <c r="G23" i="8"/>
  <c r="L36" i="12"/>
  <c r="O39" i="12"/>
  <c r="O40" i="12" s="1"/>
  <c r="J4" i="8" s="1"/>
  <c r="N39" i="12"/>
  <c r="M39" i="12"/>
  <c r="P31" i="12"/>
  <c r="N31" i="12"/>
  <c r="L31" i="12"/>
  <c r="Q38" i="12"/>
  <c r="P38" i="12"/>
  <c r="N38" i="12"/>
  <c r="M38" i="12"/>
  <c r="M37" i="12"/>
  <c r="N37" i="12" s="1"/>
  <c r="O37" i="12" s="1"/>
  <c r="P37" i="12" s="1"/>
  <c r="Q37" i="12" s="1"/>
  <c r="R37" i="12" s="1"/>
  <c r="S37" i="12" s="1"/>
  <c r="T37" i="12" s="1"/>
  <c r="U37" i="12" s="1"/>
  <c r="V37" i="12" s="1"/>
  <c r="W37" i="12" s="1"/>
  <c r="X37" i="12" s="1"/>
  <c r="Y37" i="12" s="1"/>
  <c r="M40" i="12" l="1"/>
  <c r="H4" i="8" s="1"/>
  <c r="R38" i="12"/>
  <c r="L38" i="12" s="1"/>
  <c r="N40" i="12"/>
  <c r="I4" i="8" s="1"/>
  <c r="R31" i="12"/>
  <c r="L19" i="12" s="1"/>
  <c r="R30" i="12"/>
  <c r="R29" i="12"/>
  <c r="R28" i="12"/>
  <c r="R27" i="12"/>
  <c r="R26" i="12"/>
  <c r="R25" i="12"/>
  <c r="R24" i="12"/>
  <c r="G85" i="14" l="1"/>
  <c r="F85" i="14"/>
  <c r="Q91" i="5"/>
  <c r="P91" i="5"/>
  <c r="O91" i="5"/>
  <c r="N91" i="5"/>
  <c r="M91" i="5"/>
  <c r="L91" i="5"/>
  <c r="K91" i="5"/>
  <c r="J91" i="5"/>
  <c r="I91" i="5"/>
  <c r="H91" i="5"/>
  <c r="G38" i="14"/>
  <c r="F38" i="14"/>
  <c r="E38" i="14"/>
  <c r="F29" i="14"/>
  <c r="E30" i="11"/>
  <c r="G47" i="11"/>
  <c r="G40" i="11"/>
  <c r="F56" i="1"/>
  <c r="G56" i="1" s="1"/>
  <c r="H56" i="1" s="1"/>
  <c r="W56" i="1" s="1"/>
  <c r="F57" i="1"/>
  <c r="G57" i="1" s="1"/>
  <c r="H57" i="1" s="1"/>
  <c r="T50" i="1"/>
  <c r="U50" i="1" s="1"/>
  <c r="T49" i="1"/>
  <c r="U49" i="1" s="1"/>
  <c r="G81" i="5"/>
  <c r="E78" i="5"/>
  <c r="E88" i="5" s="1"/>
  <c r="E77" i="5"/>
  <c r="D73" i="5"/>
  <c r="E76" i="5" s="1"/>
  <c r="E81" i="5" s="1"/>
  <c r="D40" i="1"/>
  <c r="K73" i="1"/>
  <c r="L73" i="1" s="1"/>
  <c r="M73" i="1" s="1"/>
  <c r="N73" i="1" s="1"/>
  <c r="O73" i="1" s="1"/>
  <c r="P73" i="1" s="1"/>
  <c r="Q73" i="1" s="1"/>
  <c r="R73" i="1" s="1"/>
  <c r="S73" i="1" s="1"/>
  <c r="T73" i="1" s="1"/>
  <c r="U73" i="1" s="1"/>
  <c r="V73" i="1" s="1"/>
  <c r="W73" i="1" s="1"/>
  <c r="X73" i="1" s="1"/>
  <c r="Y73" i="1" s="1"/>
  <c r="D56" i="5"/>
  <c r="Y57" i="1" l="1"/>
  <c r="U57" i="1"/>
  <c r="Q57" i="1"/>
  <c r="X57" i="1"/>
  <c r="T57" i="1"/>
  <c r="P57" i="1"/>
  <c r="W57" i="1"/>
  <c r="S57" i="1"/>
  <c r="V57" i="1"/>
  <c r="R57" i="1"/>
  <c r="O57" i="1"/>
  <c r="P56" i="1"/>
  <c r="T56" i="1"/>
  <c r="X56" i="1"/>
  <c r="O56" i="1"/>
  <c r="Q56" i="1"/>
  <c r="U56" i="1"/>
  <c r="Y56" i="1"/>
  <c r="R56" i="1"/>
  <c r="V56" i="1"/>
  <c r="S56" i="1"/>
  <c r="H81" i="5"/>
  <c r="H44" i="14" s="1"/>
  <c r="H17" i="14"/>
  <c r="G17" i="14"/>
  <c r="F17" i="14"/>
  <c r="E17" i="14"/>
  <c r="G15" i="14"/>
  <c r="G16" i="14" s="1"/>
  <c r="F15" i="14"/>
  <c r="F16" i="14" s="1"/>
  <c r="E15" i="14"/>
  <c r="E16" i="14" s="1"/>
  <c r="G8" i="14"/>
  <c r="F8" i="14"/>
  <c r="E8" i="14"/>
  <c r="G7" i="14"/>
  <c r="G86" i="14" s="1"/>
  <c r="F7" i="14"/>
  <c r="F86" i="14" s="1"/>
  <c r="E7" i="14"/>
  <c r="G10" i="10"/>
  <c r="F10" i="10"/>
  <c r="E10" i="10"/>
  <c r="G15" i="10"/>
  <c r="F15" i="10"/>
  <c r="E15" i="10"/>
  <c r="Q96" i="5"/>
  <c r="Q99" i="5" s="1"/>
  <c r="P96" i="5"/>
  <c r="P99" i="5" s="1"/>
  <c r="O96" i="5"/>
  <c r="O99" i="5" s="1"/>
  <c r="N96" i="5"/>
  <c r="N99" i="5" s="1"/>
  <c r="M96" i="5"/>
  <c r="M99" i="5" s="1"/>
  <c r="L96" i="5"/>
  <c r="L99" i="5" s="1"/>
  <c r="K96" i="5"/>
  <c r="K99" i="5" s="1"/>
  <c r="J96" i="5"/>
  <c r="J99" i="5" s="1"/>
  <c r="I96" i="5"/>
  <c r="I99" i="5" s="1"/>
  <c r="H96" i="5"/>
  <c r="F25" i="1"/>
  <c r="G40" i="1" s="1"/>
  <c r="Y49" i="1"/>
  <c r="Y50" i="1"/>
  <c r="F26" i="1"/>
  <c r="G41" i="1" s="1"/>
  <c r="O50" i="1"/>
  <c r="O49" i="1"/>
  <c r="E25" i="1"/>
  <c r="E26" i="1" s="1"/>
  <c r="D25" i="1"/>
  <c r="L7" i="5"/>
  <c r="K7" i="5"/>
  <c r="L6" i="5"/>
  <c r="K6" i="5"/>
  <c r="D15" i="5"/>
  <c r="E40" i="1"/>
  <c r="I4" i="10"/>
  <c r="J4" i="10" s="1"/>
  <c r="K4" i="10" s="1"/>
  <c r="L4" i="10" s="1"/>
  <c r="M4" i="10" s="1"/>
  <c r="N4" i="10" s="1"/>
  <c r="O4" i="10" s="1"/>
  <c r="P4" i="10" s="1"/>
  <c r="Q4" i="10" s="1"/>
  <c r="R19" i="20"/>
  <c r="S19" i="20" s="1"/>
  <c r="T19" i="20" s="1"/>
  <c r="U19" i="20" s="1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AC49" i="20"/>
  <c r="AD49" i="20" s="1"/>
  <c r="AE49" i="20" s="1"/>
  <c r="AF49" i="20" s="1"/>
  <c r="AG49" i="20" s="1"/>
  <c r="K60" i="1"/>
  <c r="L60" i="1" s="1"/>
  <c r="M60" i="1" s="1"/>
  <c r="N60" i="1" s="1"/>
  <c r="O60" i="1" s="1"/>
  <c r="P60" i="1" s="1"/>
  <c r="Q60" i="1" s="1"/>
  <c r="R60" i="1" s="1"/>
  <c r="S60" i="1" s="1"/>
  <c r="T60" i="1" s="1"/>
  <c r="U60" i="1" s="1"/>
  <c r="V60" i="1" s="1"/>
  <c r="W60" i="1" s="1"/>
  <c r="X60" i="1" s="1"/>
  <c r="Y60" i="1" s="1"/>
  <c r="V22" i="11"/>
  <c r="J20" i="11"/>
  <c r="K7" i="11"/>
  <c r="R20" i="11"/>
  <c r="C11" i="11"/>
  <c r="K5" i="11"/>
  <c r="S5" i="11"/>
  <c r="W5" i="11"/>
  <c r="H40" i="1" l="1"/>
  <c r="D78" i="1" s="1"/>
  <c r="H56" i="5"/>
  <c r="H99" i="5"/>
  <c r="N81" i="5"/>
  <c r="I81" i="5"/>
  <c r="L81" i="5"/>
  <c r="Q81" i="5"/>
  <c r="O81" i="5"/>
  <c r="M81" i="5"/>
  <c r="K81" i="5"/>
  <c r="P81" i="5"/>
  <c r="J81" i="5"/>
  <c r="E18" i="14"/>
  <c r="E9" i="14"/>
  <c r="F9" i="14"/>
  <c r="G18" i="14"/>
  <c r="G9" i="14"/>
  <c r="F18" i="14"/>
  <c r="J6" i="8"/>
  <c r="I6" i="8"/>
  <c r="G6" i="8"/>
  <c r="H6" i="8"/>
  <c r="M44" i="14" l="1"/>
  <c r="M56" i="5"/>
  <c r="J44" i="14"/>
  <c r="J56" i="5"/>
  <c r="O44" i="14"/>
  <c r="O56" i="5"/>
  <c r="N44" i="14"/>
  <c r="N56" i="5"/>
  <c r="P44" i="14"/>
  <c r="P56" i="5"/>
  <c r="Q44" i="14"/>
  <c r="Q56" i="5"/>
  <c r="K44" i="14"/>
  <c r="K56" i="5"/>
  <c r="L44" i="14"/>
  <c r="L56" i="5"/>
  <c r="I44" i="14"/>
  <c r="I56" i="5"/>
  <c r="E33" i="20"/>
  <c r="U21" i="20"/>
  <c r="U44" i="20" s="1"/>
  <c r="T21" i="20"/>
  <c r="T44" i="20" s="1"/>
  <c r="S21" i="20"/>
  <c r="S44" i="20" s="1"/>
  <c r="R21" i="20"/>
  <c r="R44" i="20" s="1"/>
  <c r="Q21" i="20"/>
  <c r="Q44" i="20" s="1"/>
  <c r="K21" i="20"/>
  <c r="K44" i="20" s="1"/>
  <c r="J21" i="20"/>
  <c r="J44" i="20" s="1"/>
  <c r="I21" i="20"/>
  <c r="I44" i="20" s="1"/>
  <c r="H21" i="20"/>
  <c r="G21" i="20"/>
  <c r="U28" i="20"/>
  <c r="U45" i="20" s="1"/>
  <c r="T28" i="20"/>
  <c r="T45" i="20" s="1"/>
  <c r="S28" i="20"/>
  <c r="S45" i="20" s="1"/>
  <c r="K28" i="20"/>
  <c r="K45" i="20" s="1"/>
  <c r="J28" i="20"/>
  <c r="J45" i="20" s="1"/>
  <c r="I28" i="20"/>
  <c r="I45" i="20" s="1"/>
  <c r="H28" i="20"/>
  <c r="G28" i="20"/>
  <c r="F28" i="20"/>
  <c r="F29" i="20" s="1"/>
  <c r="E28" i="20"/>
  <c r="E29" i="20" s="1"/>
  <c r="U20" i="20"/>
  <c r="U43" i="20" s="1"/>
  <c r="T20" i="20"/>
  <c r="S20" i="20"/>
  <c r="S43" i="20" s="1"/>
  <c r="V22" i="20"/>
  <c r="V6" i="20"/>
  <c r="V5" i="20"/>
  <c r="V4" i="20"/>
  <c r="V26" i="20"/>
  <c r="V24" i="20"/>
  <c r="V19" i="20"/>
  <c r="V10" i="20"/>
  <c r="V9" i="20"/>
  <c r="Y7" i="1"/>
  <c r="X7" i="1"/>
  <c r="W7" i="1"/>
  <c r="V7" i="1"/>
  <c r="U7" i="1"/>
  <c r="T7" i="1"/>
  <c r="T2" i="1"/>
  <c r="U2" i="1" s="1"/>
  <c r="V2" i="1" s="1"/>
  <c r="W2" i="1" s="1"/>
  <c r="X2" i="1" s="1"/>
  <c r="Y2" i="1" s="1"/>
  <c r="M2" i="20"/>
  <c r="N2" i="20" s="1"/>
  <c r="O2" i="20" s="1"/>
  <c r="P2" i="20" s="1"/>
  <c r="Q2" i="20" s="1"/>
  <c r="R2" i="20" s="1"/>
  <c r="S2" i="20" s="1"/>
  <c r="T2" i="20" s="1"/>
  <c r="U2" i="20" s="1"/>
  <c r="T29" i="20" l="1"/>
  <c r="T43" i="20"/>
  <c r="U29" i="20"/>
  <c r="S29" i="20"/>
  <c r="U7" i="20"/>
  <c r="T7" i="20"/>
  <c r="T42" i="20" s="1"/>
  <c r="S7" i="20"/>
  <c r="R7" i="20"/>
  <c r="Q7" i="20"/>
  <c r="P7" i="20"/>
  <c r="O7" i="20"/>
  <c r="N7" i="20"/>
  <c r="M7" i="20"/>
  <c r="L7" i="20"/>
  <c r="K7" i="20"/>
  <c r="J7" i="20"/>
  <c r="I7" i="20"/>
  <c r="H7" i="20"/>
  <c r="G7" i="20"/>
  <c r="F7" i="20"/>
  <c r="E7" i="20"/>
  <c r="E30" i="20" s="1"/>
  <c r="P66" i="20"/>
  <c r="O66" i="20"/>
  <c r="N66" i="20"/>
  <c r="P64" i="20"/>
  <c r="O64" i="20"/>
  <c r="N64" i="20"/>
  <c r="P63" i="20"/>
  <c r="O63" i="20"/>
  <c r="N63" i="20"/>
  <c r="P62" i="20"/>
  <c r="O62" i="20"/>
  <c r="N62" i="20"/>
  <c r="P60" i="20"/>
  <c r="O60" i="20"/>
  <c r="N60" i="20"/>
  <c r="P59" i="20"/>
  <c r="O59" i="20"/>
  <c r="N59" i="20"/>
  <c r="P58" i="20"/>
  <c r="O58" i="20"/>
  <c r="N58" i="20"/>
  <c r="P57" i="20"/>
  <c r="O57" i="20"/>
  <c r="N57" i="20"/>
  <c r="I56" i="20"/>
  <c r="P56" i="20" s="1"/>
  <c r="I55" i="20"/>
  <c r="P55" i="20" s="1"/>
  <c r="P54" i="20"/>
  <c r="O54" i="20"/>
  <c r="N54" i="20"/>
  <c r="P53" i="20"/>
  <c r="O53" i="20"/>
  <c r="N53" i="20"/>
  <c r="P52" i="20"/>
  <c r="O52" i="20"/>
  <c r="N52" i="20"/>
  <c r="P51" i="20"/>
  <c r="O51" i="20"/>
  <c r="N51" i="20"/>
  <c r="U30" i="20" l="1"/>
  <c r="T33" i="20"/>
  <c r="T30" i="20"/>
  <c r="J33" i="20"/>
  <c r="J42" i="20"/>
  <c r="K33" i="20"/>
  <c r="K42" i="20"/>
  <c r="I33" i="20"/>
  <c r="I42" i="20"/>
  <c r="M33" i="20"/>
  <c r="M42" i="20"/>
  <c r="Q33" i="20"/>
  <c r="Q42" i="20"/>
  <c r="U33" i="20"/>
  <c r="U42" i="20"/>
  <c r="N33" i="20"/>
  <c r="N42" i="20"/>
  <c r="R33" i="20"/>
  <c r="R42" i="20"/>
  <c r="O33" i="20"/>
  <c r="O42" i="20"/>
  <c r="S30" i="20"/>
  <c r="S42" i="20"/>
  <c r="L33" i="20"/>
  <c r="L42" i="20"/>
  <c r="P33" i="20"/>
  <c r="P42" i="20"/>
  <c r="S33" i="20"/>
  <c r="V7" i="20"/>
  <c r="F30" i="20"/>
  <c r="Q54" i="20"/>
  <c r="S54" i="20" s="1"/>
  <c r="T54" i="20" s="1"/>
  <c r="Q51" i="20"/>
  <c r="S51" i="20" s="1"/>
  <c r="T51" i="20" s="1"/>
  <c r="G9" i="20" s="1"/>
  <c r="Q52" i="20"/>
  <c r="S52" i="20" s="1"/>
  <c r="T52" i="20" s="1"/>
  <c r="H10" i="20" s="1"/>
  <c r="Q60" i="20"/>
  <c r="S60" i="20" s="1"/>
  <c r="T60" i="20" s="1"/>
  <c r="Q66" i="20"/>
  <c r="S66" i="20" s="1"/>
  <c r="T66" i="20" s="1"/>
  <c r="Q59" i="20"/>
  <c r="S59" i="20" s="1"/>
  <c r="T59" i="20" s="1"/>
  <c r="Q64" i="20"/>
  <c r="S64" i="20" s="1"/>
  <c r="T64" i="20" s="1"/>
  <c r="Q57" i="20"/>
  <c r="S57" i="20" s="1"/>
  <c r="T57" i="20" s="1"/>
  <c r="Q62" i="20"/>
  <c r="S62" i="20" s="1"/>
  <c r="T62" i="20" s="1"/>
  <c r="Q53" i="20"/>
  <c r="S53" i="20" s="1"/>
  <c r="T53" i="20" s="1"/>
  <c r="Q58" i="20"/>
  <c r="S58" i="20" s="1"/>
  <c r="T58" i="20" s="1"/>
  <c r="Q63" i="20"/>
  <c r="S63" i="20" s="1"/>
  <c r="T63" i="20" s="1"/>
  <c r="V42" i="20" l="1"/>
  <c r="V33" i="20"/>
  <c r="H20" i="20"/>
  <c r="H29" i="20" s="1"/>
  <c r="H30" i="20" s="1"/>
  <c r="G20" i="20"/>
  <c r="G29" i="20" s="1"/>
  <c r="G30" i="20" s="1"/>
  <c r="R18" i="20"/>
  <c r="R20" i="20" s="1"/>
  <c r="R43" i="20" s="1"/>
  <c r="Q18" i="20"/>
  <c r="Q20" i="20" s="1"/>
  <c r="Q43" i="20" s="1"/>
  <c r="P18" i="20"/>
  <c r="P17" i="20"/>
  <c r="O17" i="20"/>
  <c r="N17" i="20"/>
  <c r="L15" i="20"/>
  <c r="N15" i="20"/>
  <c r="M15" i="20"/>
  <c r="M21" i="20" s="1"/>
  <c r="M44" i="20" s="1"/>
  <c r="L12" i="20"/>
  <c r="M12" i="20" s="1"/>
  <c r="N12" i="20" s="1"/>
  <c r="K12" i="20"/>
  <c r="J12" i="20"/>
  <c r="M23" i="20"/>
  <c r="M28" i="20" s="1"/>
  <c r="M45" i="20" s="1"/>
  <c r="L23" i="20"/>
  <c r="I11" i="20"/>
  <c r="K11" i="20"/>
  <c r="J11" i="20"/>
  <c r="N25" i="20"/>
  <c r="P25" i="20"/>
  <c r="O25" i="20"/>
  <c r="O28" i="20" s="1"/>
  <c r="O45" i="20" s="1"/>
  <c r="M16" i="20"/>
  <c r="L16" i="20"/>
  <c r="O16" i="20"/>
  <c r="N16" i="20"/>
  <c r="Q27" i="20"/>
  <c r="Q28" i="20" s="1"/>
  <c r="Q45" i="20" s="1"/>
  <c r="P27" i="20"/>
  <c r="R27" i="20"/>
  <c r="R28" i="20" s="1"/>
  <c r="R45" i="20" s="1"/>
  <c r="G50" i="1"/>
  <c r="G49" i="1"/>
  <c r="D49" i="1"/>
  <c r="G48" i="1"/>
  <c r="D48" i="1"/>
  <c r="S7" i="1"/>
  <c r="R7" i="1"/>
  <c r="Q7" i="1"/>
  <c r="P7" i="1"/>
  <c r="O7" i="1"/>
  <c r="N7" i="1"/>
  <c r="M7" i="1"/>
  <c r="L7" i="1"/>
  <c r="K7" i="1"/>
  <c r="J7" i="1"/>
  <c r="K8" i="1"/>
  <c r="L8" i="1" s="1"/>
  <c r="AD44" i="1"/>
  <c r="AE42" i="1"/>
  <c r="AD40" i="1"/>
  <c r="AC40" i="1"/>
  <c r="AA40" i="1"/>
  <c r="AA43" i="1" s="1"/>
  <c r="AE39" i="1"/>
  <c r="AE38" i="1"/>
  <c r="AE37" i="1"/>
  <c r="AE36" i="1"/>
  <c r="AE35" i="1"/>
  <c r="AE34" i="1"/>
  <c r="AE33" i="1"/>
  <c r="AE32" i="1"/>
  <c r="AE31" i="1"/>
  <c r="AE30" i="1"/>
  <c r="E36" i="1"/>
  <c r="F40" i="1" s="1"/>
  <c r="AE29" i="1"/>
  <c r="AE28" i="1"/>
  <c r="E9" i="1"/>
  <c r="D9" i="1"/>
  <c r="P28" i="20" l="1"/>
  <c r="P45" i="20" s="1"/>
  <c r="V18" i="20"/>
  <c r="H36" i="1"/>
  <c r="D77" i="1" s="1"/>
  <c r="E61" i="1"/>
  <c r="D51" i="1"/>
  <c r="E49" i="1" s="1"/>
  <c r="AD45" i="1"/>
  <c r="F12" i="1" s="1"/>
  <c r="L12" i="1" s="1"/>
  <c r="L21" i="1" s="1"/>
  <c r="V17" i="20"/>
  <c r="Q29" i="20"/>
  <c r="Q30" i="20" s="1"/>
  <c r="J20" i="20"/>
  <c r="V27" i="20"/>
  <c r="N28" i="20"/>
  <c r="N45" i="20" s="1"/>
  <c r="V25" i="20"/>
  <c r="V23" i="20"/>
  <c r="L28" i="20"/>
  <c r="L45" i="20" s="1"/>
  <c r="R29" i="20"/>
  <c r="R30" i="20" s="1"/>
  <c r="I20" i="20"/>
  <c r="L21" i="20"/>
  <c r="L44" i="20" s="1"/>
  <c r="V16" i="20"/>
  <c r="V12" i="20"/>
  <c r="O15" i="20"/>
  <c r="N21" i="20"/>
  <c r="N44" i="20" s="1"/>
  <c r="G51" i="1"/>
  <c r="H49" i="1" s="1"/>
  <c r="L11" i="20"/>
  <c r="M8" i="1"/>
  <c r="L11" i="1"/>
  <c r="AE40" i="1"/>
  <c r="AE41" i="1" s="1"/>
  <c r="J11" i="1"/>
  <c r="J20" i="1" s="1"/>
  <c r="J74" i="1" s="1"/>
  <c r="J76" i="1" s="1"/>
  <c r="J77" i="1" s="1"/>
  <c r="J78" i="1" s="1"/>
  <c r="H68" i="5" s="1"/>
  <c r="K11" i="1"/>
  <c r="K20" i="1" s="1"/>
  <c r="K74" i="1" s="1"/>
  <c r="K76" i="1" s="1"/>
  <c r="AC43" i="1"/>
  <c r="AC41" i="1"/>
  <c r="D27" i="1" l="1"/>
  <c r="E27" i="1" s="1"/>
  <c r="P49" i="1" s="1"/>
  <c r="K77" i="1"/>
  <c r="K78" i="1" s="1"/>
  <c r="K81" i="1" s="1"/>
  <c r="J81" i="1"/>
  <c r="AE50" i="1"/>
  <c r="E41" i="1" s="1"/>
  <c r="H41" i="1" s="1"/>
  <c r="D41" i="1"/>
  <c r="F41" i="1" s="1"/>
  <c r="I29" i="20"/>
  <c r="I30" i="20" s="1"/>
  <c r="I43" i="20"/>
  <c r="V45" i="20"/>
  <c r="J29" i="20"/>
  <c r="J30" i="20" s="1"/>
  <c r="J43" i="20"/>
  <c r="H48" i="1"/>
  <c r="M12" i="1"/>
  <c r="J12" i="1"/>
  <c r="J21" i="1" s="1"/>
  <c r="J22" i="1" s="1"/>
  <c r="E48" i="1"/>
  <c r="E51" i="1" s="1"/>
  <c r="J35" i="1"/>
  <c r="I55" i="11" s="1"/>
  <c r="H50" i="1"/>
  <c r="K12" i="1"/>
  <c r="K21" i="1" s="1"/>
  <c r="V28" i="20"/>
  <c r="G25" i="12" s="1"/>
  <c r="P15" i="20"/>
  <c r="O21" i="20"/>
  <c r="O44" i="20" s="1"/>
  <c r="M11" i="20"/>
  <c r="AE43" i="1"/>
  <c r="N8" i="1"/>
  <c r="M11" i="1"/>
  <c r="L20" i="1"/>
  <c r="L74" i="1" s="1"/>
  <c r="L76" i="1" s="1"/>
  <c r="L77" i="1" s="1"/>
  <c r="L78" i="1" s="1"/>
  <c r="D28" i="1" l="1"/>
  <c r="E28" i="1" s="1"/>
  <c r="P50" i="1" s="1"/>
  <c r="R50" i="1" s="1"/>
  <c r="I68" i="5"/>
  <c r="J39" i="1"/>
  <c r="L81" i="1"/>
  <c r="J68" i="5"/>
  <c r="S49" i="1"/>
  <c r="R49" i="1"/>
  <c r="Q49" i="1"/>
  <c r="S50" i="1"/>
  <c r="H51" i="1"/>
  <c r="J13" i="1"/>
  <c r="K13" i="1"/>
  <c r="K22" i="1"/>
  <c r="P21" i="20"/>
  <c r="P44" i="20" s="1"/>
  <c r="V44" i="20" s="1"/>
  <c r="V15" i="20"/>
  <c r="N11" i="20"/>
  <c r="O8" i="1"/>
  <c r="N12" i="1"/>
  <c r="N11" i="1"/>
  <c r="L22" i="1"/>
  <c r="M21" i="1"/>
  <c r="L13" i="1"/>
  <c r="J18" i="1"/>
  <c r="Q50" i="1" l="1"/>
  <c r="F28" i="1" s="1"/>
  <c r="L14" i="1"/>
  <c r="H13" i="14"/>
  <c r="P7" i="12"/>
  <c r="F27" i="1"/>
  <c r="K14" i="1"/>
  <c r="K18" i="1"/>
  <c r="L23" i="1"/>
  <c r="K23" i="1"/>
  <c r="O11" i="20"/>
  <c r="P8" i="1"/>
  <c r="O12" i="1"/>
  <c r="O11" i="1"/>
  <c r="L18" i="1"/>
  <c r="M20" i="1"/>
  <c r="M74" i="1" s="1"/>
  <c r="M76" i="1" s="1"/>
  <c r="M77" i="1" s="1"/>
  <c r="M78" i="1" s="1"/>
  <c r="M13" i="1"/>
  <c r="M14" i="1" s="1"/>
  <c r="N21" i="1"/>
  <c r="H15" i="14" l="1"/>
  <c r="M81" i="1"/>
  <c r="K68" i="5"/>
  <c r="P11" i="20"/>
  <c r="V11" i="20" s="1"/>
  <c r="Q8" i="1"/>
  <c r="P11" i="1"/>
  <c r="P12" i="1"/>
  <c r="O21" i="1"/>
  <c r="N13" i="1"/>
  <c r="N14" i="1" s="1"/>
  <c r="N20" i="1"/>
  <c r="N74" i="1" s="1"/>
  <c r="N76" i="1" s="1"/>
  <c r="N77" i="1" s="1"/>
  <c r="N78" i="1" s="1"/>
  <c r="M22" i="1"/>
  <c r="N81" i="1" l="1"/>
  <c r="L68" i="5"/>
  <c r="R8" i="1"/>
  <c r="Q11" i="1"/>
  <c r="Q12" i="1"/>
  <c r="M23" i="1"/>
  <c r="M18" i="1"/>
  <c r="O20" i="1"/>
  <c r="O74" i="1" s="1"/>
  <c r="O76" i="1" s="1"/>
  <c r="O77" i="1" s="1"/>
  <c r="O78" i="1" s="1"/>
  <c r="O13" i="1"/>
  <c r="O14" i="1" s="1"/>
  <c r="N22" i="1"/>
  <c r="P21" i="1"/>
  <c r="D31" i="10"/>
  <c r="O81" i="1" l="1"/>
  <c r="M68" i="5"/>
  <c r="S8" i="1"/>
  <c r="T8" i="1" s="1"/>
  <c r="R11" i="1"/>
  <c r="R12" i="1"/>
  <c r="N18" i="1"/>
  <c r="N23" i="1"/>
  <c r="Q21" i="1"/>
  <c r="P13" i="1"/>
  <c r="P14" i="1" s="1"/>
  <c r="P20" i="1"/>
  <c r="P74" i="1" s="1"/>
  <c r="P76" i="1" s="1"/>
  <c r="P77" i="1" s="1"/>
  <c r="P78" i="1" s="1"/>
  <c r="O22" i="1"/>
  <c r="P81" i="1" l="1"/>
  <c r="N68" i="5"/>
  <c r="U8" i="1"/>
  <c r="T11" i="1"/>
  <c r="T12" i="1"/>
  <c r="T21" i="1" s="1"/>
  <c r="S11" i="1"/>
  <c r="S12" i="1"/>
  <c r="P22" i="1"/>
  <c r="O23" i="1"/>
  <c r="O18" i="1"/>
  <c r="R21" i="1"/>
  <c r="Q20" i="1"/>
  <c r="Q74" i="1" s="1"/>
  <c r="Q76" i="1" s="1"/>
  <c r="Q77" i="1" s="1"/>
  <c r="Q78" i="1" s="1"/>
  <c r="Q13" i="1"/>
  <c r="Q14" i="1" s="1"/>
  <c r="Q81" i="1" l="1"/>
  <c r="O68" i="5"/>
  <c r="T20" i="1"/>
  <c r="T74" i="1" s="1"/>
  <c r="T76" i="1" s="1"/>
  <c r="T77" i="1" s="1"/>
  <c r="T78" i="1" s="1"/>
  <c r="T81" i="1" s="1"/>
  <c r="T13" i="1"/>
  <c r="V8" i="1"/>
  <c r="U12" i="1"/>
  <c r="U21" i="1" s="1"/>
  <c r="U11" i="1"/>
  <c r="Q22" i="1"/>
  <c r="S21" i="1"/>
  <c r="P18" i="1"/>
  <c r="P23" i="1"/>
  <c r="R13" i="1"/>
  <c r="R14" i="1" s="1"/>
  <c r="R20" i="1"/>
  <c r="R74" i="1" s="1"/>
  <c r="R76" i="1" s="1"/>
  <c r="R77" i="1" s="1"/>
  <c r="R78" i="1" s="1"/>
  <c r="R81" i="1" l="1"/>
  <c r="P68" i="5"/>
  <c r="W8" i="1"/>
  <c r="V12" i="1"/>
  <c r="V21" i="1" s="1"/>
  <c r="V11" i="1"/>
  <c r="T22" i="1"/>
  <c r="U20" i="1"/>
  <c r="U74" i="1" s="1"/>
  <c r="U76" i="1" s="1"/>
  <c r="U77" i="1" s="1"/>
  <c r="U78" i="1" s="1"/>
  <c r="U81" i="1" s="1"/>
  <c r="U13" i="1"/>
  <c r="U14" i="1" s="1"/>
  <c r="S20" i="1"/>
  <c r="S74" i="1" s="1"/>
  <c r="S76" i="1" s="1"/>
  <c r="S77" i="1" s="1"/>
  <c r="S78" i="1" s="1"/>
  <c r="S13" i="1"/>
  <c r="S14" i="1" s="1"/>
  <c r="R22" i="1"/>
  <c r="Q23" i="1"/>
  <c r="Q18" i="1"/>
  <c r="S81" i="1" l="1"/>
  <c r="Q68" i="5"/>
  <c r="T14" i="1"/>
  <c r="T18" i="1"/>
  <c r="X8" i="1"/>
  <c r="W11" i="1"/>
  <c r="W12" i="1"/>
  <c r="W21" i="1" s="1"/>
  <c r="U22" i="1"/>
  <c r="V13" i="1"/>
  <c r="V14" i="1" s="1"/>
  <c r="V20" i="1"/>
  <c r="V74" i="1" s="1"/>
  <c r="V76" i="1" s="1"/>
  <c r="V77" i="1" s="1"/>
  <c r="V78" i="1" s="1"/>
  <c r="V81" i="1" s="1"/>
  <c r="R18" i="1"/>
  <c r="R23" i="1"/>
  <c r="S22" i="1"/>
  <c r="T23" i="1" s="1"/>
  <c r="U23" i="1" l="1"/>
  <c r="U18" i="1"/>
  <c r="V22" i="1"/>
  <c r="Y8" i="1"/>
  <c r="X11" i="1"/>
  <c r="X12" i="1"/>
  <c r="X21" i="1" s="1"/>
  <c r="W13" i="1"/>
  <c r="W14" i="1" s="1"/>
  <c r="W20" i="1"/>
  <c r="W74" i="1" s="1"/>
  <c r="W76" i="1" s="1"/>
  <c r="W77" i="1" s="1"/>
  <c r="W78" i="1" s="1"/>
  <c r="W81" i="1" s="1"/>
  <c r="S23" i="1"/>
  <c r="S18" i="1"/>
  <c r="Y12" i="1" l="1"/>
  <c r="Y21" i="1" s="1"/>
  <c r="Y11" i="1"/>
  <c r="W22" i="1"/>
  <c r="X20" i="1"/>
  <c r="X74" i="1" s="1"/>
  <c r="X76" i="1" s="1"/>
  <c r="X77" i="1" s="1"/>
  <c r="X78" i="1" s="1"/>
  <c r="X81" i="1" s="1"/>
  <c r="X13" i="1"/>
  <c r="X14" i="1" s="1"/>
  <c r="V23" i="1"/>
  <c r="V18" i="1"/>
  <c r="Y20" i="1" l="1"/>
  <c r="Y74" i="1" s="1"/>
  <c r="Y76" i="1" s="1"/>
  <c r="Y77" i="1" s="1"/>
  <c r="Y78" i="1" s="1"/>
  <c r="Y81" i="1" s="1"/>
  <c r="Y13" i="1"/>
  <c r="Y14" i="1" s="1"/>
  <c r="X22" i="1"/>
  <c r="W23" i="1"/>
  <c r="W18" i="1"/>
  <c r="E70" i="14"/>
  <c r="E69" i="14"/>
  <c r="E68" i="14"/>
  <c r="E67" i="14"/>
  <c r="D70" i="14"/>
  <c r="D69" i="14"/>
  <c r="D68" i="14"/>
  <c r="D67" i="14"/>
  <c r="D31" i="14"/>
  <c r="G10" i="14"/>
  <c r="G11" i="14" s="1"/>
  <c r="F10" i="14"/>
  <c r="F11" i="14" s="1"/>
  <c r="E10" i="14"/>
  <c r="E11" i="14" s="1"/>
  <c r="F45" i="10"/>
  <c r="M29" i="5"/>
  <c r="N29" i="5" s="1"/>
  <c r="O29" i="5" s="1"/>
  <c r="P29" i="5" s="1"/>
  <c r="Q29" i="5" s="1"/>
  <c r="N38" i="5"/>
  <c r="O38" i="5" s="1"/>
  <c r="P38" i="5" s="1"/>
  <c r="Q38" i="5" s="1"/>
  <c r="I38" i="5"/>
  <c r="J38" i="5" s="1"/>
  <c r="K38" i="5" s="1"/>
  <c r="L38" i="5" s="1"/>
  <c r="M38" i="5" s="1"/>
  <c r="G2" i="20"/>
  <c r="H29" i="5"/>
  <c r="I29" i="5" s="1"/>
  <c r="J29" i="5" s="1"/>
  <c r="K29" i="5" s="1"/>
  <c r="L29" i="5" s="1"/>
  <c r="K8" i="5"/>
  <c r="L24" i="5"/>
  <c r="L20" i="5"/>
  <c r="M14" i="5"/>
  <c r="L16" i="5"/>
  <c r="E9" i="5"/>
  <c r="E6" i="5"/>
  <c r="E15" i="5"/>
  <c r="E17" i="5" s="1"/>
  <c r="E19" i="5" s="1"/>
  <c r="S14" i="11"/>
  <c r="W14" i="11" s="1"/>
  <c r="Q11" i="11"/>
  <c r="U11" i="11" s="1"/>
  <c r="Q12" i="11"/>
  <c r="U12" i="11" s="1"/>
  <c r="I12" i="11"/>
  <c r="S17" i="11"/>
  <c r="W17" i="11" s="1"/>
  <c r="S16" i="11"/>
  <c r="W16" i="11" s="1"/>
  <c r="U7" i="11"/>
  <c r="Q6" i="11"/>
  <c r="U6" i="11" s="1"/>
  <c r="Q5" i="11"/>
  <c r="U5" i="11" s="1"/>
  <c r="Q10" i="11"/>
  <c r="U10" i="11" s="1"/>
  <c r="Q9" i="11"/>
  <c r="U9" i="11" s="1"/>
  <c r="Q8" i="11"/>
  <c r="U8" i="11" s="1"/>
  <c r="I11" i="11"/>
  <c r="I6" i="11"/>
  <c r="I5" i="11"/>
  <c r="I10" i="11"/>
  <c r="I9" i="11"/>
  <c r="I8" i="11"/>
  <c r="K11" i="11"/>
  <c r="K9" i="11"/>
  <c r="G8" i="11"/>
  <c r="F31" i="10"/>
  <c r="G31" i="10" s="1"/>
  <c r="H31" i="10" s="1"/>
  <c r="I31" i="10" s="1"/>
  <c r="J31" i="10" s="1"/>
  <c r="K31" i="10" s="1"/>
  <c r="L31" i="10" s="1"/>
  <c r="M31" i="10" s="1"/>
  <c r="N31" i="10" s="1"/>
  <c r="O31" i="10" s="1"/>
  <c r="P31" i="10" s="1"/>
  <c r="Q31" i="10" s="1"/>
  <c r="R31" i="10" s="1"/>
  <c r="R29" i="14"/>
  <c r="W7" i="11"/>
  <c r="S7" i="11"/>
  <c r="R3" i="14"/>
  <c r="P4" i="12"/>
  <c r="Q4" i="12" s="1"/>
  <c r="R4" i="12" s="1"/>
  <c r="S4" i="12" s="1"/>
  <c r="T4" i="12" s="1"/>
  <c r="U4" i="12" s="1"/>
  <c r="V4" i="12" s="1"/>
  <c r="W4" i="12" s="1"/>
  <c r="X4" i="12" s="1"/>
  <c r="Y4" i="12" s="1"/>
  <c r="N4" i="12"/>
  <c r="G12" i="8"/>
  <c r="G13" i="8" s="1"/>
  <c r="G15" i="8" s="1"/>
  <c r="G17" i="8" s="1"/>
  <c r="G1" i="14"/>
  <c r="H1" i="14" s="1"/>
  <c r="I1" i="14" s="1"/>
  <c r="J1" i="14" s="1"/>
  <c r="K1" i="14" s="1"/>
  <c r="L1" i="14" s="1"/>
  <c r="M1" i="14" s="1"/>
  <c r="N1" i="14" s="1"/>
  <c r="O1" i="14" s="1"/>
  <c r="P1" i="14" s="1"/>
  <c r="Q1" i="14" s="1"/>
  <c r="G5" i="10"/>
  <c r="H5" i="10" s="1"/>
  <c r="I5" i="10" s="1"/>
  <c r="J5" i="10" s="1"/>
  <c r="K5" i="10" s="1"/>
  <c r="L5" i="10" s="1"/>
  <c r="M5" i="10" s="1"/>
  <c r="N5" i="10" s="1"/>
  <c r="O5" i="10" s="1"/>
  <c r="P5" i="10" s="1"/>
  <c r="Q5" i="10" s="1"/>
  <c r="V20" i="11"/>
  <c r="W4" i="11"/>
  <c r="W6" i="11" s="1"/>
  <c r="S4" i="11"/>
  <c r="S6" i="11" s="1"/>
  <c r="F24" i="11"/>
  <c r="K8" i="11"/>
  <c r="J22" i="11"/>
  <c r="K6" i="11"/>
  <c r="K17" i="11"/>
  <c r="K16" i="11"/>
  <c r="F52" i="11"/>
  <c r="F53" i="11"/>
  <c r="E34" i="20"/>
  <c r="E35" i="20"/>
  <c r="E36" i="20"/>
  <c r="J24" i="11"/>
  <c r="D2" i="14"/>
  <c r="E3" i="14" s="1"/>
  <c r="F3" i="14" s="1"/>
  <c r="M5" i="12"/>
  <c r="N5" i="12" s="1"/>
  <c r="E12" i="8"/>
  <c r="E13" i="8" s="1"/>
  <c r="E15" i="8" s="1"/>
  <c r="E17" i="8" s="1"/>
  <c r="D13" i="10"/>
  <c r="R17" i="10"/>
  <c r="D9" i="5"/>
  <c r="G76" i="5" s="1"/>
  <c r="K16" i="5"/>
  <c r="K24" i="5"/>
  <c r="K20" i="5"/>
  <c r="F1" i="5"/>
  <c r="E54" i="5" s="1"/>
  <c r="G6" i="11"/>
  <c r="D49" i="11"/>
  <c r="G48" i="11"/>
  <c r="D42" i="11"/>
  <c r="G41" i="11"/>
  <c r="D57" i="14"/>
  <c r="D51" i="14"/>
  <c r="D65" i="11"/>
  <c r="F48" i="11"/>
  <c r="E48" i="11"/>
  <c r="E41" i="11"/>
  <c r="F41" i="11"/>
  <c r="F30" i="11"/>
  <c r="G30" i="11" s="1"/>
  <c r="H30" i="11" s="1"/>
  <c r="I30" i="11" s="1"/>
  <c r="J30" i="11" s="1"/>
  <c r="K30" i="11" s="1"/>
  <c r="L30" i="11" s="1"/>
  <c r="M30" i="11" s="1"/>
  <c r="N30" i="11" s="1"/>
  <c r="O30" i="11" s="1"/>
  <c r="P30" i="11" s="1"/>
  <c r="Q30" i="11" s="1"/>
  <c r="R30" i="11" s="1"/>
  <c r="R80" i="14"/>
  <c r="R82" i="14" s="1"/>
  <c r="H38" i="11"/>
  <c r="H39" i="11" s="1"/>
  <c r="H45" i="11"/>
  <c r="H46" i="11" s="1"/>
  <c r="G22" i="14"/>
  <c r="W8" i="11"/>
  <c r="D40" i="10"/>
  <c r="E21" i="8" l="1"/>
  <c r="E24" i="8" s="1"/>
  <c r="E26" i="8" s="1"/>
  <c r="E28" i="8" s="1"/>
  <c r="G21" i="8"/>
  <c r="G24" i="8" s="1"/>
  <c r="G26" i="8" s="1"/>
  <c r="G28" i="8" s="1"/>
  <c r="G13" i="10"/>
  <c r="E13" i="10"/>
  <c r="G82" i="5"/>
  <c r="L76" i="5"/>
  <c r="M76" i="5"/>
  <c r="N76" i="5"/>
  <c r="H76" i="5"/>
  <c r="J76" i="5"/>
  <c r="I76" i="5"/>
  <c r="K76" i="5"/>
  <c r="Q76" i="5"/>
  <c r="P76" i="5"/>
  <c r="O76" i="5"/>
  <c r="F54" i="5"/>
  <c r="G54" i="5" s="1"/>
  <c r="H54" i="5" s="1"/>
  <c r="I54" i="5" s="1"/>
  <c r="J54" i="5" s="1"/>
  <c r="K54" i="5" s="1"/>
  <c r="L54" i="5" s="1"/>
  <c r="M54" i="5" s="1"/>
  <c r="N54" i="5" s="1"/>
  <c r="O54" i="5" s="1"/>
  <c r="P54" i="5" s="1"/>
  <c r="Q54" i="5" s="1"/>
  <c r="E66" i="5"/>
  <c r="F66" i="5" s="1"/>
  <c r="G66" i="5" s="1"/>
  <c r="H66" i="5" s="1"/>
  <c r="I66" i="5" s="1"/>
  <c r="J66" i="5" s="1"/>
  <c r="K66" i="5" s="1"/>
  <c r="L66" i="5" s="1"/>
  <c r="M66" i="5" s="1"/>
  <c r="N66" i="5" s="1"/>
  <c r="O66" i="5" s="1"/>
  <c r="P66" i="5" s="1"/>
  <c r="Q66" i="5" s="1"/>
  <c r="H48" i="11"/>
  <c r="D41" i="14"/>
  <c r="M20" i="5"/>
  <c r="K11" i="5"/>
  <c r="M16" i="5"/>
  <c r="M24" i="5"/>
  <c r="E10" i="5"/>
  <c r="L25" i="5"/>
  <c r="K25" i="5"/>
  <c r="H32" i="5" s="1"/>
  <c r="Y22" i="1"/>
  <c r="X18" i="1"/>
  <c r="X23" i="1"/>
  <c r="H41" i="11"/>
  <c r="D12" i="8"/>
  <c r="D13" i="8" s="1"/>
  <c r="D15" i="8" s="1"/>
  <c r="D17" i="8" s="1"/>
  <c r="F12" i="8"/>
  <c r="F13" i="8" s="1"/>
  <c r="F15" i="8" s="1"/>
  <c r="F17" i="8" s="1"/>
  <c r="R34" i="20"/>
  <c r="J34" i="20"/>
  <c r="U34" i="20"/>
  <c r="Q34" i="20"/>
  <c r="T34" i="20"/>
  <c r="S34" i="20"/>
  <c r="I34" i="20"/>
  <c r="R36" i="20"/>
  <c r="N36" i="20"/>
  <c r="J36" i="20"/>
  <c r="U36" i="20"/>
  <c r="Q36" i="20"/>
  <c r="M36" i="20"/>
  <c r="I36" i="20"/>
  <c r="T36" i="20"/>
  <c r="P36" i="20"/>
  <c r="L36" i="20"/>
  <c r="S36" i="20"/>
  <c r="O36" i="20"/>
  <c r="K36" i="20"/>
  <c r="R35" i="20"/>
  <c r="N35" i="20"/>
  <c r="J35" i="20"/>
  <c r="U35" i="20"/>
  <c r="Q35" i="20"/>
  <c r="M35" i="20"/>
  <c r="T35" i="20"/>
  <c r="P35" i="20"/>
  <c r="L35" i="20"/>
  <c r="I35" i="20"/>
  <c r="S35" i="20"/>
  <c r="O35" i="20"/>
  <c r="K35" i="20"/>
  <c r="H55" i="20"/>
  <c r="H56" i="20"/>
  <c r="E28" i="5"/>
  <c r="F28" i="5" s="1"/>
  <c r="G28" i="5" s="1"/>
  <c r="H28" i="5" s="1"/>
  <c r="I28" i="5" s="1"/>
  <c r="J28" i="5" s="1"/>
  <c r="K28" i="5" s="1"/>
  <c r="L28" i="5" s="1"/>
  <c r="M28" i="5" s="1"/>
  <c r="N28" i="5" s="1"/>
  <c r="O28" i="5" s="1"/>
  <c r="P28" i="5" s="1"/>
  <c r="Q28" i="5" s="1"/>
  <c r="D64" i="11"/>
  <c r="F11" i="10"/>
  <c r="S9" i="11"/>
  <c r="W9" i="11" s="1"/>
  <c r="W10" i="11" s="1"/>
  <c r="G11" i="10"/>
  <c r="G45" i="10"/>
  <c r="G16" i="10"/>
  <c r="G10" i="11"/>
  <c r="G12" i="11" s="1"/>
  <c r="F13" i="10"/>
  <c r="F16" i="10"/>
  <c r="E35" i="14"/>
  <c r="F22" i="14"/>
  <c r="D17" i="5"/>
  <c r="D19" i="5" s="1"/>
  <c r="F37" i="20"/>
  <c r="K10" i="11"/>
  <c r="S8" i="11"/>
  <c r="S11" i="11"/>
  <c r="W11" i="11" s="1"/>
  <c r="K53" i="11"/>
  <c r="G36" i="14"/>
  <c r="Q46" i="20"/>
  <c r="M14" i="10" s="1"/>
  <c r="E16" i="10"/>
  <c r="E11" i="10"/>
  <c r="F74" i="14"/>
  <c r="F79" i="14" s="1"/>
  <c r="F84" i="14" s="1"/>
  <c r="F92" i="14" s="1"/>
  <c r="F35" i="14"/>
  <c r="G3" i="14"/>
  <c r="E74" i="14"/>
  <c r="E79" i="14"/>
  <c r="E84" i="14" s="1"/>
  <c r="E92" i="14" s="1"/>
  <c r="O5" i="12"/>
  <c r="E6" i="10"/>
  <c r="H2" i="8"/>
  <c r="H20" i="8" s="1"/>
  <c r="H32" i="8" s="1"/>
  <c r="M22" i="12"/>
  <c r="F65" i="14" l="1"/>
  <c r="F21" i="8"/>
  <c r="F24" i="8" s="1"/>
  <c r="F26" i="8" s="1"/>
  <c r="F28" i="8" s="1"/>
  <c r="D21" i="8"/>
  <c r="D24" i="8" s="1"/>
  <c r="D26" i="8" s="1"/>
  <c r="D28" i="8" s="1"/>
  <c r="D30" i="8" s="1"/>
  <c r="D18" i="8"/>
  <c r="E18" i="8" s="1"/>
  <c r="F18" i="8" s="1"/>
  <c r="G18" i="8" s="1"/>
  <c r="M45" i="12"/>
  <c r="N45" i="12" s="1"/>
  <c r="O45" i="12" s="1"/>
  <c r="P45" i="12" s="1"/>
  <c r="Q45" i="12" s="1"/>
  <c r="R45" i="12" s="1"/>
  <c r="S45" i="12" s="1"/>
  <c r="T45" i="12" s="1"/>
  <c r="U45" i="12" s="1"/>
  <c r="V45" i="12" s="1"/>
  <c r="W45" i="12" s="1"/>
  <c r="X45" i="12" s="1"/>
  <c r="Y45" i="12" s="1"/>
  <c r="E22" i="14"/>
  <c r="G41" i="14"/>
  <c r="F41" i="14"/>
  <c r="E41" i="14"/>
  <c r="E65" i="14"/>
  <c r="K77" i="5"/>
  <c r="K82" i="5"/>
  <c r="K83" i="5" s="1"/>
  <c r="N82" i="5"/>
  <c r="N83" i="5" s="1"/>
  <c r="N77" i="5"/>
  <c r="O82" i="5"/>
  <c r="O83" i="5" s="1"/>
  <c r="O77" i="5"/>
  <c r="I82" i="5"/>
  <c r="I83" i="5" s="1"/>
  <c r="I77" i="5"/>
  <c r="M82" i="5"/>
  <c r="M83" i="5" s="1"/>
  <c r="M77" i="5"/>
  <c r="P82" i="5"/>
  <c r="P83" i="5" s="1"/>
  <c r="P77" i="5"/>
  <c r="J82" i="5"/>
  <c r="J83" i="5" s="1"/>
  <c r="J77" i="5"/>
  <c r="L82" i="5"/>
  <c r="L83" i="5" s="1"/>
  <c r="L77" i="5"/>
  <c r="Q82" i="5"/>
  <c r="Q83" i="5" s="1"/>
  <c r="Q77" i="5"/>
  <c r="H82" i="5"/>
  <c r="H83" i="5" s="1"/>
  <c r="H77" i="5"/>
  <c r="J32" i="5"/>
  <c r="I41" i="5"/>
  <c r="Q41" i="5"/>
  <c r="M41" i="5"/>
  <c r="L41" i="5"/>
  <c r="K41" i="5"/>
  <c r="N41" i="5"/>
  <c r="J41" i="5"/>
  <c r="P41" i="5"/>
  <c r="O41" i="5"/>
  <c r="E12" i="5"/>
  <c r="E13" i="5" s="1"/>
  <c r="M25" i="5"/>
  <c r="H31" i="5"/>
  <c r="M32" i="5"/>
  <c r="L32" i="5"/>
  <c r="O32" i="5"/>
  <c r="P32" i="5"/>
  <c r="Q32" i="5"/>
  <c r="N32" i="5"/>
  <c r="K32" i="5"/>
  <c r="I32" i="5"/>
  <c r="Y18" i="1"/>
  <c r="Y23" i="1"/>
  <c r="V36" i="20"/>
  <c r="G15" i="11"/>
  <c r="G18" i="11" s="1"/>
  <c r="G67" i="1"/>
  <c r="E29" i="8"/>
  <c r="E30" i="8" s="1"/>
  <c r="V35" i="20"/>
  <c r="F64" i="11"/>
  <c r="G64" i="11"/>
  <c r="F12" i="10" s="1"/>
  <c r="O55" i="20"/>
  <c r="Q55" i="20" s="1"/>
  <c r="S55" i="20" s="1"/>
  <c r="N55" i="20"/>
  <c r="O56" i="20"/>
  <c r="Q56" i="20" s="1"/>
  <c r="S56" i="20" s="1"/>
  <c r="N56" i="20"/>
  <c r="J37" i="20"/>
  <c r="F19" i="14" s="1"/>
  <c r="F91" i="14" s="1"/>
  <c r="F87" i="14" s="1"/>
  <c r="J46" i="20"/>
  <c r="F14" i="10" s="1"/>
  <c r="I37" i="20"/>
  <c r="E19" i="14" s="1"/>
  <c r="E21" i="14" s="1"/>
  <c r="I46" i="20"/>
  <c r="R46" i="20"/>
  <c r="N14" i="10" s="1"/>
  <c r="R37" i="20"/>
  <c r="N19" i="14" s="1"/>
  <c r="H64" i="11"/>
  <c r="E64" i="11"/>
  <c r="E45" i="14" s="1"/>
  <c r="W12" i="11"/>
  <c r="W20" i="11" s="1"/>
  <c r="S10" i="11"/>
  <c r="S12" i="11" s="1"/>
  <c r="F36" i="14"/>
  <c r="K12" i="11"/>
  <c r="G20" i="11"/>
  <c r="F19" i="5"/>
  <c r="M4" i="5"/>
  <c r="F4" i="5"/>
  <c r="F15" i="5" s="1"/>
  <c r="D6" i="5"/>
  <c r="L8" i="5"/>
  <c r="G63" i="11"/>
  <c r="Q37" i="20"/>
  <c r="M19" i="14" s="1"/>
  <c r="I2" i="8"/>
  <c r="I20" i="8" s="1"/>
  <c r="I32" i="8" s="1"/>
  <c r="G2" i="8"/>
  <c r="G20" i="8" s="1"/>
  <c r="G32" i="8" s="1"/>
  <c r="F6" i="10"/>
  <c r="P5" i="12"/>
  <c r="G35" i="14"/>
  <c r="G74" i="14"/>
  <c r="G79" i="14" s="1"/>
  <c r="G84" i="14" s="1"/>
  <c r="G92" i="14" s="1"/>
  <c r="H3" i="14"/>
  <c r="E36" i="14" l="1"/>
  <c r="E26" i="14"/>
  <c r="Q85" i="5"/>
  <c r="Q86" i="5" s="1"/>
  <c r="Q24" i="14"/>
  <c r="Q38" i="14" s="1"/>
  <c r="J85" i="5"/>
  <c r="J86" i="5" s="1"/>
  <c r="J24" i="14"/>
  <c r="J38" i="14" s="1"/>
  <c r="M85" i="5"/>
  <c r="M86" i="5" s="1"/>
  <c r="M24" i="14"/>
  <c r="M38" i="14" s="1"/>
  <c r="O85" i="5"/>
  <c r="O86" i="5" s="1"/>
  <c r="O24" i="14"/>
  <c r="O38" i="14" s="1"/>
  <c r="K85" i="5"/>
  <c r="K86" i="5" s="1"/>
  <c r="K24" i="14"/>
  <c r="K38" i="14" s="1"/>
  <c r="H85" i="5"/>
  <c r="H86" i="5" s="1"/>
  <c r="H24" i="14"/>
  <c r="L85" i="5"/>
  <c r="L86" i="5" s="1"/>
  <c r="L24" i="14"/>
  <c r="L38" i="14" s="1"/>
  <c r="P85" i="5"/>
  <c r="P86" i="5" s="1"/>
  <c r="P24" i="14"/>
  <c r="P38" i="14" s="1"/>
  <c r="I85" i="5"/>
  <c r="I86" i="5" s="1"/>
  <c r="I24" i="14"/>
  <c r="I38" i="14" s="1"/>
  <c r="N85" i="5"/>
  <c r="N86" i="5" s="1"/>
  <c r="N24" i="14"/>
  <c r="N38" i="14" s="1"/>
  <c r="I31" i="5"/>
  <c r="J31" i="5" s="1"/>
  <c r="K31" i="5" s="1"/>
  <c r="L31" i="5" s="1"/>
  <c r="M31" i="5" s="1"/>
  <c r="N31" i="5" s="1"/>
  <c r="O31" i="5" s="1"/>
  <c r="P31" i="5" s="1"/>
  <c r="Q31" i="5" s="1"/>
  <c r="E20" i="5"/>
  <c r="M8" i="5"/>
  <c r="L11" i="5"/>
  <c r="I40" i="5" s="1"/>
  <c r="E14" i="10"/>
  <c r="F46" i="10"/>
  <c r="K15" i="11"/>
  <c r="K18" i="11" s="1"/>
  <c r="G68" i="1"/>
  <c r="G21" i="11"/>
  <c r="G22" i="11" s="1"/>
  <c r="G23" i="11" s="1"/>
  <c r="G24" i="11" s="1"/>
  <c r="G25" i="11" s="1"/>
  <c r="F29" i="8"/>
  <c r="I38" i="20"/>
  <c r="E43" i="14" s="1"/>
  <c r="H9" i="8" s="1"/>
  <c r="Q38" i="20"/>
  <c r="M43" i="14" s="1"/>
  <c r="R38" i="20"/>
  <c r="N43" i="14" s="1"/>
  <c r="J38" i="20"/>
  <c r="F43" i="14" s="1"/>
  <c r="F37" i="14"/>
  <c r="G45" i="14"/>
  <c r="T56" i="20"/>
  <c r="L14" i="20" s="1"/>
  <c r="T55" i="20"/>
  <c r="W15" i="11"/>
  <c r="W18" i="11" s="1"/>
  <c r="W21" i="11" s="1"/>
  <c r="S46" i="20"/>
  <c r="O14" i="10" s="1"/>
  <c r="S37" i="20"/>
  <c r="K20" i="11"/>
  <c r="D10" i="5"/>
  <c r="F6" i="5"/>
  <c r="S20" i="11"/>
  <c r="S15" i="11"/>
  <c r="S18" i="11" s="1"/>
  <c r="H42" i="5"/>
  <c r="G46" i="10"/>
  <c r="G12" i="10"/>
  <c r="E12" i="10"/>
  <c r="E37" i="14"/>
  <c r="G65" i="14"/>
  <c r="F2" i="8"/>
  <c r="F20" i="8" s="1"/>
  <c r="F32" i="8" s="1"/>
  <c r="Q5" i="12"/>
  <c r="H35" i="14"/>
  <c r="H74" i="14"/>
  <c r="H79" i="14" s="1"/>
  <c r="H84" i="14" s="1"/>
  <c r="H92" i="14" s="1"/>
  <c r="I3" i="14"/>
  <c r="G6" i="10"/>
  <c r="F44" i="10"/>
  <c r="J2" i="8"/>
  <c r="J20" i="8" s="1"/>
  <c r="J32" i="8" s="1"/>
  <c r="H65" i="14" l="1"/>
  <c r="E40" i="14"/>
  <c r="I9" i="8"/>
  <c r="I12" i="8" s="1"/>
  <c r="I13" i="8" s="1"/>
  <c r="I15" i="8" s="1"/>
  <c r="I17" i="8" s="1"/>
  <c r="D44" i="8"/>
  <c r="H12" i="8"/>
  <c r="H13" i="8" s="1"/>
  <c r="H15" i="8" s="1"/>
  <c r="H17" i="8" s="1"/>
  <c r="S38" i="20"/>
  <c r="O43" i="14" s="1"/>
  <c r="O19" i="14"/>
  <c r="F45" i="14"/>
  <c r="H38" i="14"/>
  <c r="K21" i="11"/>
  <c r="Q39" i="5"/>
  <c r="E21" i="5"/>
  <c r="J40" i="5"/>
  <c r="K40" i="5" s="1"/>
  <c r="L40" i="5" s="1"/>
  <c r="M40" i="5" s="1"/>
  <c r="N40" i="5" s="1"/>
  <c r="O40" i="5" s="1"/>
  <c r="P40" i="5" s="1"/>
  <c r="Q40" i="5" s="1"/>
  <c r="K39" i="5"/>
  <c r="M39" i="5"/>
  <c r="O39" i="5"/>
  <c r="J39" i="5"/>
  <c r="E17" i="10"/>
  <c r="E18" i="10" s="1"/>
  <c r="N39" i="5"/>
  <c r="P39" i="5"/>
  <c r="I39" i="5"/>
  <c r="M11" i="5"/>
  <c r="M10" i="5" s="1"/>
  <c r="K2" i="11"/>
  <c r="F40" i="14"/>
  <c r="F30" i="8"/>
  <c r="G29" i="8" s="1"/>
  <c r="M14" i="20"/>
  <c r="L13" i="20"/>
  <c r="K13" i="20"/>
  <c r="K20" i="20" s="1"/>
  <c r="K43" i="20" s="1"/>
  <c r="M13" i="20"/>
  <c r="T46" i="20"/>
  <c r="P14" i="10" s="1"/>
  <c r="T37" i="20"/>
  <c r="G37" i="14"/>
  <c r="S21" i="11"/>
  <c r="S22" i="11" s="1"/>
  <c r="S23" i="11" s="1"/>
  <c r="W22" i="11"/>
  <c r="W23" i="11" s="1"/>
  <c r="D12" i="5"/>
  <c r="K22" i="11"/>
  <c r="K23" i="11" s="1"/>
  <c r="K24" i="11" s="1"/>
  <c r="K25" i="11" s="1"/>
  <c r="K2" i="8"/>
  <c r="K20" i="8" s="1"/>
  <c r="K32" i="8" s="1"/>
  <c r="H6" i="10"/>
  <c r="G44" i="10"/>
  <c r="E2" i="8"/>
  <c r="E20" i="8" s="1"/>
  <c r="E32" i="8" s="1"/>
  <c r="I74" i="14"/>
  <c r="I79" i="14" s="1"/>
  <c r="I84" i="14" s="1"/>
  <c r="I92" i="14" s="1"/>
  <c r="I35" i="14"/>
  <c r="J3" i="14"/>
  <c r="R5" i="12"/>
  <c r="P42" i="5" l="1"/>
  <c r="O42" i="5"/>
  <c r="O57" i="5" s="1"/>
  <c r="I21" i="8"/>
  <c r="I24" i="8" s="1"/>
  <c r="I26" i="8" s="1"/>
  <c r="I28" i="8" s="1"/>
  <c r="Q42" i="5"/>
  <c r="Q57" i="5" s="1"/>
  <c r="F93" i="14"/>
  <c r="H21" i="8"/>
  <c r="H24" i="8" s="1"/>
  <c r="H26" i="8" s="1"/>
  <c r="H28" i="8" s="1"/>
  <c r="H18" i="8"/>
  <c r="I18" i="8" s="1"/>
  <c r="F81" i="14"/>
  <c r="E39" i="10"/>
  <c r="T38" i="20"/>
  <c r="P43" i="14" s="1"/>
  <c r="P19" i="14"/>
  <c r="N42" i="5"/>
  <c r="N57" i="5" s="1"/>
  <c r="M42" i="5"/>
  <c r="M57" i="5" s="1"/>
  <c r="K42" i="5"/>
  <c r="K57" i="5" s="1"/>
  <c r="J42" i="5"/>
  <c r="J57" i="5" s="1"/>
  <c r="I42" i="5"/>
  <c r="I57" i="5" s="1"/>
  <c r="E21" i="10"/>
  <c r="E25" i="10" s="1"/>
  <c r="P57" i="5"/>
  <c r="M20" i="20"/>
  <c r="M43" i="20" s="1"/>
  <c r="M46" i="20" s="1"/>
  <c r="I14" i="10" s="1"/>
  <c r="K46" i="20"/>
  <c r="G30" i="8"/>
  <c r="H29" i="8" s="1"/>
  <c r="L2" i="8"/>
  <c r="K29" i="20"/>
  <c r="K34" i="20"/>
  <c r="L20" i="20"/>
  <c r="L43" i="20" s="1"/>
  <c r="L46" i="20" s="1"/>
  <c r="H14" i="10" s="1"/>
  <c r="V14" i="20"/>
  <c r="V21" i="20"/>
  <c r="G24" i="12" s="1"/>
  <c r="N13" i="20"/>
  <c r="N20" i="20" s="1"/>
  <c r="N43" i="20" s="1"/>
  <c r="N46" i="20" s="1"/>
  <c r="J14" i="10" s="1"/>
  <c r="U46" i="20"/>
  <c r="Q14" i="10" s="1"/>
  <c r="U37" i="20"/>
  <c r="Q19" i="14" s="1"/>
  <c r="G40" i="14"/>
  <c r="G93" i="14" s="1"/>
  <c r="E30" i="14"/>
  <c r="M46" i="12" s="1"/>
  <c r="D13" i="5"/>
  <c r="F12" i="5"/>
  <c r="F13" i="5" s="1"/>
  <c r="D20" i="5"/>
  <c r="D21" i="5" s="1"/>
  <c r="F21" i="5" s="1"/>
  <c r="S5" i="12"/>
  <c r="D2" i="8"/>
  <c r="I6" i="10"/>
  <c r="H44" i="10"/>
  <c r="J35" i="14"/>
  <c r="J74" i="14"/>
  <c r="J79" i="14" s="1"/>
  <c r="J84" i="14" s="1"/>
  <c r="J92" i="14" s="1"/>
  <c r="K3" i="14"/>
  <c r="I65" i="14"/>
  <c r="M2" i="8" l="1"/>
  <c r="L20" i="8"/>
  <c r="L32" i="8" s="1"/>
  <c r="D20" i="8"/>
  <c r="D32" i="8" s="1"/>
  <c r="J65" i="14"/>
  <c r="H30" i="8"/>
  <c r="M47" i="12" s="1"/>
  <c r="N17" i="14"/>
  <c r="P17" i="14"/>
  <c r="M17" i="14"/>
  <c r="K17" i="14"/>
  <c r="J17" i="14"/>
  <c r="Q17" i="14"/>
  <c r="O17" i="14"/>
  <c r="I17" i="14"/>
  <c r="M29" i="20"/>
  <c r="M30" i="20" s="1"/>
  <c r="M34" i="20"/>
  <c r="M37" i="20" s="1"/>
  <c r="I19" i="14" s="1"/>
  <c r="G14" i="10"/>
  <c r="U38" i="20"/>
  <c r="Q43" i="14" s="1"/>
  <c r="K37" i="20"/>
  <c r="G19" i="14" s="1"/>
  <c r="G91" i="14" s="1"/>
  <c r="G87" i="14" s="1"/>
  <c r="N29" i="20"/>
  <c r="N30" i="20" s="1"/>
  <c r="N34" i="20"/>
  <c r="N37" i="20" s="1"/>
  <c r="J19" i="14" s="1"/>
  <c r="L29" i="20"/>
  <c r="L30" i="20" s="1"/>
  <c r="L34" i="20"/>
  <c r="L37" i="20" s="1"/>
  <c r="H19" i="14" s="1"/>
  <c r="K30" i="20"/>
  <c r="O13" i="20"/>
  <c r="O20" i="20" s="1"/>
  <c r="O43" i="20" s="1"/>
  <c r="O46" i="20" s="1"/>
  <c r="F20" i="5"/>
  <c r="O30" i="5"/>
  <c r="H30" i="5"/>
  <c r="M30" i="5"/>
  <c r="Q30" i="5"/>
  <c r="I30" i="5"/>
  <c r="N30" i="5"/>
  <c r="P30" i="5"/>
  <c r="J30" i="5"/>
  <c r="K30" i="5"/>
  <c r="L30" i="5"/>
  <c r="G37" i="20"/>
  <c r="H37" i="20"/>
  <c r="F17" i="10"/>
  <c r="T5" i="12"/>
  <c r="K35" i="14"/>
  <c r="K74" i="14"/>
  <c r="K79" i="14" s="1"/>
  <c r="K84" i="14" s="1"/>
  <c r="K92" i="14" s="1"/>
  <c r="L3" i="14"/>
  <c r="J6" i="10"/>
  <c r="I44" i="10"/>
  <c r="N2" i="8" l="1"/>
  <c r="N20" i="8" s="1"/>
  <c r="N32" i="8" s="1"/>
  <c r="M20" i="8"/>
  <c r="M32" i="8" s="1"/>
  <c r="I29" i="8"/>
  <c r="I30" i="8" s="1"/>
  <c r="G88" i="14"/>
  <c r="G89" i="14" s="1"/>
  <c r="Q33" i="5"/>
  <c r="Q34" i="5" s="1"/>
  <c r="P33" i="5"/>
  <c r="P34" i="5" s="1"/>
  <c r="M33" i="5"/>
  <c r="M34" i="5" s="1"/>
  <c r="N33" i="5"/>
  <c r="N34" i="5" s="1"/>
  <c r="O33" i="5"/>
  <c r="O34" i="5" s="1"/>
  <c r="J33" i="5"/>
  <c r="J34" i="5" s="1"/>
  <c r="L33" i="5"/>
  <c r="L34" i="5" s="1"/>
  <c r="K33" i="5"/>
  <c r="K34" i="5" s="1"/>
  <c r="I33" i="5"/>
  <c r="I34" i="5" s="1"/>
  <c r="H33" i="5"/>
  <c r="H34" i="5" s="1"/>
  <c r="E30" i="10"/>
  <c r="E76" i="14"/>
  <c r="E27" i="10"/>
  <c r="M38" i="20"/>
  <c r="I43" i="14" s="1"/>
  <c r="L9" i="8" s="1"/>
  <c r="L12" i="8" s="1"/>
  <c r="K14" i="10"/>
  <c r="K38" i="20"/>
  <c r="G43" i="14" s="1"/>
  <c r="N38" i="20"/>
  <c r="J43" i="14" s="1"/>
  <c r="M9" i="8" s="1"/>
  <c r="M12" i="8" s="1"/>
  <c r="L38" i="20"/>
  <c r="H43" i="14" s="1"/>
  <c r="K9" i="8" s="1"/>
  <c r="K12" i="8" s="1"/>
  <c r="O29" i="20"/>
  <c r="O30" i="20" s="1"/>
  <c r="O34" i="20"/>
  <c r="O37" i="20" s="1"/>
  <c r="K19" i="14" s="1"/>
  <c r="P13" i="20"/>
  <c r="F47" i="10"/>
  <c r="F48" i="10" s="1"/>
  <c r="F18" i="10"/>
  <c r="G17" i="10"/>
  <c r="K65" i="14"/>
  <c r="M3" i="14"/>
  <c r="L74" i="14"/>
  <c r="L79" i="14" s="1"/>
  <c r="L84" i="14" s="1"/>
  <c r="L92" i="14" s="1"/>
  <c r="L35" i="14"/>
  <c r="L65" i="14" s="1"/>
  <c r="U5" i="12"/>
  <c r="J44" i="10"/>
  <c r="K6" i="10"/>
  <c r="J9" i="8" l="1"/>
  <c r="J12" i="8" s="1"/>
  <c r="J13" i="8" s="1"/>
  <c r="J15" i="8" s="1"/>
  <c r="J17" i="8" s="1"/>
  <c r="J18" i="8" s="1"/>
  <c r="J29" i="8"/>
  <c r="N47" i="12"/>
  <c r="G95" i="14"/>
  <c r="G96" i="14" s="1"/>
  <c r="G46" i="14"/>
  <c r="F21" i="14"/>
  <c r="F26" i="14" s="1"/>
  <c r="G21" i="14"/>
  <c r="G26" i="14" s="1"/>
  <c r="G30" i="14" s="1"/>
  <c r="O46" i="12" s="1"/>
  <c r="L55" i="5"/>
  <c r="H46" i="5"/>
  <c r="H55" i="5"/>
  <c r="F21" i="10"/>
  <c r="F25" i="10" s="1"/>
  <c r="E32" i="10"/>
  <c r="O38" i="20"/>
  <c r="K43" i="14" s="1"/>
  <c r="N9" i="8" s="1"/>
  <c r="N12" i="8" s="1"/>
  <c r="P20" i="20"/>
  <c r="V13" i="20"/>
  <c r="F95" i="14"/>
  <c r="F96" i="14" s="1"/>
  <c r="F97" i="14" s="1"/>
  <c r="F46" i="14"/>
  <c r="F88" i="14"/>
  <c r="F89" i="14" s="1"/>
  <c r="G47" i="10"/>
  <c r="G48" i="10" s="1"/>
  <c r="G18" i="10"/>
  <c r="G21" i="10" s="1"/>
  <c r="G25" i="10" s="1"/>
  <c r="F49" i="10"/>
  <c r="E46" i="14"/>
  <c r="E55" i="14" s="1"/>
  <c r="L6" i="10"/>
  <c r="K44" i="10"/>
  <c r="V5" i="12"/>
  <c r="M35" i="14"/>
  <c r="M65" i="14" s="1"/>
  <c r="M74" i="14"/>
  <c r="M79" i="14" s="1"/>
  <c r="M84" i="14" s="1"/>
  <c r="M92" i="14" s="1"/>
  <c r="N3" i="14"/>
  <c r="N35" i="14" s="1"/>
  <c r="J21" i="8" l="1"/>
  <c r="J24" i="8" s="1"/>
  <c r="J26" i="8" s="1"/>
  <c r="J28" i="8" s="1"/>
  <c r="J30" i="8" s="1"/>
  <c r="K29" i="8" s="1"/>
  <c r="L10" i="14"/>
  <c r="H58" i="5"/>
  <c r="H15" i="10" s="1"/>
  <c r="F50" i="14"/>
  <c r="F55" i="14"/>
  <c r="G50" i="14"/>
  <c r="H80" i="14" s="1"/>
  <c r="H82" i="14" s="1"/>
  <c r="G55" i="14"/>
  <c r="E50" i="14"/>
  <c r="F80" i="14" s="1"/>
  <c r="F82" i="14" s="1"/>
  <c r="M55" i="5"/>
  <c r="M58" i="5" s="1"/>
  <c r="M46" i="5"/>
  <c r="M100" i="5" s="1"/>
  <c r="O55" i="5"/>
  <c r="O58" i="5" s="1"/>
  <c r="O46" i="5"/>
  <c r="O100" i="5" s="1"/>
  <c r="P46" i="5"/>
  <c r="P100" i="5" s="1"/>
  <c r="P55" i="5"/>
  <c r="P58" i="5" s="1"/>
  <c r="Q46" i="5"/>
  <c r="Q100" i="5" s="1"/>
  <c r="Q55" i="5"/>
  <c r="Q58" i="5" s="1"/>
  <c r="N46" i="5"/>
  <c r="N100" i="5" s="1"/>
  <c r="N55" i="5"/>
  <c r="N58" i="5" s="1"/>
  <c r="L97" i="5"/>
  <c r="J46" i="5"/>
  <c r="J100" i="5" s="1"/>
  <c r="J55" i="5"/>
  <c r="J58" i="5" s="1"/>
  <c r="K46" i="5"/>
  <c r="K100" i="5" s="1"/>
  <c r="K55" i="5"/>
  <c r="K58" i="5" s="1"/>
  <c r="I46" i="5"/>
  <c r="I100" i="5" s="1"/>
  <c r="I55" i="5"/>
  <c r="I58" i="5" s="1"/>
  <c r="H10" i="14"/>
  <c r="H97" i="5"/>
  <c r="P34" i="20"/>
  <c r="P37" i="20" s="1"/>
  <c r="P43" i="20"/>
  <c r="V20" i="20"/>
  <c r="G23" i="12" s="1"/>
  <c r="G26" i="12" s="1"/>
  <c r="P29" i="20"/>
  <c r="G97" i="14"/>
  <c r="F30" i="14"/>
  <c r="N46" i="12" s="1"/>
  <c r="G49" i="10"/>
  <c r="G76" i="14"/>
  <c r="G30" i="10"/>
  <c r="G39" i="10"/>
  <c r="L44" i="10"/>
  <c r="M6" i="10"/>
  <c r="N74" i="14"/>
  <c r="N79" i="14" s="1"/>
  <c r="N84" i="14" s="1"/>
  <c r="N92" i="14" s="1"/>
  <c r="N65" i="14"/>
  <c r="O3" i="14"/>
  <c r="O35" i="14" s="1"/>
  <c r="W5" i="12"/>
  <c r="H100" i="5" l="1"/>
  <c r="G80" i="14"/>
  <c r="G82" i="14" s="1"/>
  <c r="O47" i="12"/>
  <c r="F75" i="14"/>
  <c r="E37" i="20"/>
  <c r="L19" i="14"/>
  <c r="G75" i="14"/>
  <c r="G77" i="14" s="1"/>
  <c r="E75" i="14"/>
  <c r="E77" i="14" s="1"/>
  <c r="Q15" i="10"/>
  <c r="Q97" i="5"/>
  <c r="Q10" i="14"/>
  <c r="O97" i="5"/>
  <c r="O10" i="14"/>
  <c r="O15" i="10"/>
  <c r="N97" i="5"/>
  <c r="N10" i="14"/>
  <c r="N15" i="10"/>
  <c r="P15" i="10"/>
  <c r="P97" i="5"/>
  <c r="P10" i="14"/>
  <c r="M15" i="10"/>
  <c r="M10" i="14"/>
  <c r="M97" i="5"/>
  <c r="K10" i="14"/>
  <c r="K15" i="10"/>
  <c r="K97" i="5"/>
  <c r="I97" i="5"/>
  <c r="I10" i="14"/>
  <c r="I15" i="10"/>
  <c r="J15" i="10"/>
  <c r="J97" i="5"/>
  <c r="J10" i="14"/>
  <c r="F30" i="10"/>
  <c r="F27" i="10"/>
  <c r="F39" i="10"/>
  <c r="F76" i="14"/>
  <c r="V37" i="20"/>
  <c r="V34" i="20"/>
  <c r="P46" i="20"/>
  <c r="V43" i="20"/>
  <c r="P30" i="20"/>
  <c r="P38" i="20" s="1"/>
  <c r="V29" i="20"/>
  <c r="G32" i="10"/>
  <c r="O65" i="14"/>
  <c r="P3" i="14"/>
  <c r="O74" i="14"/>
  <c r="O79" i="14" s="1"/>
  <c r="O84" i="14" s="1"/>
  <c r="O92" i="14" s="1"/>
  <c r="M44" i="10"/>
  <c r="N6" i="10"/>
  <c r="X5" i="12"/>
  <c r="F77" i="14" l="1"/>
  <c r="L43" i="14"/>
  <c r="G27" i="10"/>
  <c r="F32" i="10"/>
  <c r="L14" i="10"/>
  <c r="V46" i="20"/>
  <c r="V38" i="20"/>
  <c r="E38" i="20"/>
  <c r="G28" i="12" s="1"/>
  <c r="V30" i="20"/>
  <c r="G27" i="12"/>
  <c r="H43" i="5"/>
  <c r="N44" i="10"/>
  <c r="O6" i="10"/>
  <c r="Y5" i="12"/>
  <c r="P35" i="14"/>
  <c r="P65" i="14" s="1"/>
  <c r="Q3" i="14"/>
  <c r="P74" i="14"/>
  <c r="P79" i="14" s="1"/>
  <c r="P84" i="14" s="1"/>
  <c r="P92" i="14" s="1"/>
  <c r="Q35" i="14" l="1"/>
  <c r="Q74" i="14"/>
  <c r="Q79" i="14" s="1"/>
  <c r="Q84" i="14" s="1"/>
  <c r="Q92" i="14" s="1"/>
  <c r="O44" i="10"/>
  <c r="P6" i="10"/>
  <c r="Q65" i="14" l="1"/>
  <c r="Q6" i="10"/>
  <c r="P44" i="10"/>
  <c r="Q44" i="10" l="1"/>
  <c r="L39" i="5" l="1"/>
  <c r="L42" i="5" l="1"/>
  <c r="L57" i="5" s="1"/>
  <c r="L58" i="5" s="1"/>
  <c r="L46" i="5" l="1"/>
  <c r="L17" i="14"/>
  <c r="L100" i="5" l="1"/>
  <c r="L15" i="10"/>
  <c r="G26" i="1" l="1"/>
  <c r="G28" i="1" s="1"/>
  <c r="G25" i="1"/>
  <c r="G27" i="1" s="1"/>
  <c r="K6" i="12" l="1"/>
  <c r="N25" i="1"/>
  <c r="N26" i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K7" i="12"/>
  <c r="O25" i="1" l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M26" i="1"/>
  <c r="M30" i="1" s="1"/>
  <c r="M35" i="1" s="1"/>
  <c r="M25" i="1"/>
  <c r="M29" i="1" s="1"/>
  <c r="J26" i="1"/>
  <c r="L26" i="1"/>
  <c r="L30" i="1" s="1"/>
  <c r="L35" i="1" s="1"/>
  <c r="L25" i="1"/>
  <c r="L29" i="1" s="1"/>
  <c r="K26" i="1"/>
  <c r="K25" i="1"/>
  <c r="K29" i="1" s="1"/>
  <c r="J25" i="1"/>
  <c r="J29" i="1" s="1"/>
  <c r="N30" i="1"/>
  <c r="N35" i="1" s="1"/>
  <c r="K30" i="1"/>
  <c r="K35" i="1" s="1"/>
  <c r="N29" i="1"/>
  <c r="M31" i="1" l="1"/>
  <c r="M34" i="1"/>
  <c r="O29" i="1"/>
  <c r="L31" i="1"/>
  <c r="L34" i="1"/>
  <c r="L55" i="11"/>
  <c r="M39" i="1"/>
  <c r="J34" i="1"/>
  <c r="J31" i="1"/>
  <c r="O30" i="1"/>
  <c r="N34" i="1"/>
  <c r="N31" i="1"/>
  <c r="J55" i="11"/>
  <c r="K39" i="1"/>
  <c r="K31" i="1"/>
  <c r="K34" i="1"/>
  <c r="K55" i="11"/>
  <c r="L39" i="1"/>
  <c r="M55" i="11"/>
  <c r="N39" i="1"/>
  <c r="N36" i="1" l="1"/>
  <c r="M54" i="11"/>
  <c r="M56" i="11" s="1"/>
  <c r="N38" i="1"/>
  <c r="R7" i="12"/>
  <c r="J43" i="5"/>
  <c r="J13" i="14"/>
  <c r="Q7" i="12"/>
  <c r="I43" i="5"/>
  <c r="I13" i="14"/>
  <c r="O35" i="1"/>
  <c r="K43" i="5"/>
  <c r="S7" i="12"/>
  <c r="K13" i="14"/>
  <c r="P29" i="1"/>
  <c r="P30" i="1"/>
  <c r="O34" i="1"/>
  <c r="O31" i="1"/>
  <c r="L13" i="14"/>
  <c r="T7" i="12"/>
  <c r="L43" i="5"/>
  <c r="K38" i="1"/>
  <c r="J54" i="11"/>
  <c r="J56" i="11" s="1"/>
  <c r="K36" i="1"/>
  <c r="N27" i="1"/>
  <c r="N61" i="1"/>
  <c r="N32" i="1"/>
  <c r="J27" i="1"/>
  <c r="J61" i="1"/>
  <c r="L36" i="1"/>
  <c r="L38" i="1"/>
  <c r="K54" i="11"/>
  <c r="K56" i="11" s="1"/>
  <c r="M36" i="1"/>
  <c r="L54" i="11"/>
  <c r="L56" i="11" s="1"/>
  <c r="M38" i="1"/>
  <c r="K32" i="1"/>
  <c r="K27" i="1"/>
  <c r="K61" i="1"/>
  <c r="J36" i="1"/>
  <c r="I54" i="11"/>
  <c r="I56" i="11" s="1"/>
  <c r="J38" i="1"/>
  <c r="L32" i="1"/>
  <c r="L27" i="1"/>
  <c r="L61" i="1"/>
  <c r="M27" i="1"/>
  <c r="M32" i="1"/>
  <c r="M61" i="1"/>
  <c r="K62" i="1" l="1"/>
  <c r="K63" i="1"/>
  <c r="N62" i="1"/>
  <c r="N63" i="1"/>
  <c r="L15" i="14"/>
  <c r="Q30" i="1"/>
  <c r="K15" i="14"/>
  <c r="O39" i="1"/>
  <c r="N55" i="11"/>
  <c r="J84" i="1"/>
  <c r="J85" i="1" s="1"/>
  <c r="H67" i="5"/>
  <c r="H69" i="5" s="1"/>
  <c r="P6" i="12"/>
  <c r="H6" i="14"/>
  <c r="H35" i="5"/>
  <c r="J40" i="1"/>
  <c r="J62" i="1"/>
  <c r="J63" i="1"/>
  <c r="O32" i="1"/>
  <c r="O27" i="1"/>
  <c r="O61" i="1"/>
  <c r="P35" i="1"/>
  <c r="L62" i="1"/>
  <c r="L63" i="1"/>
  <c r="L44" i="5"/>
  <c r="L62" i="5"/>
  <c r="Q29" i="1"/>
  <c r="K62" i="5"/>
  <c r="K44" i="5"/>
  <c r="J15" i="14"/>
  <c r="L6" i="14"/>
  <c r="N84" i="1"/>
  <c r="N85" i="1" s="1"/>
  <c r="L35" i="5"/>
  <c r="T6" i="12"/>
  <c r="L67" i="5"/>
  <c r="L69" i="5" s="1"/>
  <c r="N40" i="1"/>
  <c r="M63" i="1"/>
  <c r="M62" i="1"/>
  <c r="M84" i="1"/>
  <c r="M85" i="1" s="1"/>
  <c r="K6" i="14"/>
  <c r="K4" i="14" s="1"/>
  <c r="K35" i="5"/>
  <c r="K67" i="5"/>
  <c r="K69" i="5" s="1"/>
  <c r="S6" i="12"/>
  <c r="M40" i="1"/>
  <c r="L84" i="1"/>
  <c r="L85" i="1" s="1"/>
  <c r="R6" i="12"/>
  <c r="J35" i="5"/>
  <c r="J6" i="14"/>
  <c r="J4" i="14" s="1"/>
  <c r="L40" i="1"/>
  <c r="J67" i="5"/>
  <c r="J69" i="5" s="1"/>
  <c r="N54" i="11"/>
  <c r="O36" i="1"/>
  <c r="O38" i="1"/>
  <c r="P31" i="1"/>
  <c r="P34" i="1"/>
  <c r="I15" i="14"/>
  <c r="J44" i="5"/>
  <c r="J62" i="5"/>
  <c r="K84" i="1"/>
  <c r="K85" i="1" s="1"/>
  <c r="I35" i="5"/>
  <c r="Q6" i="12"/>
  <c r="K40" i="1"/>
  <c r="I67" i="5"/>
  <c r="I69" i="5" s="1"/>
  <c r="I6" i="14"/>
  <c r="I4" i="14" s="1"/>
  <c r="I44" i="5"/>
  <c r="I62" i="5"/>
  <c r="Q8" i="12" l="1"/>
  <c r="S8" i="12"/>
  <c r="P8" i="12"/>
  <c r="P39" i="12" s="1"/>
  <c r="T8" i="12"/>
  <c r="R8" i="12"/>
  <c r="R39" i="12" s="1"/>
  <c r="R40" i="12" s="1"/>
  <c r="I41" i="14"/>
  <c r="I85" i="14"/>
  <c r="J41" i="14"/>
  <c r="J85" i="14"/>
  <c r="K41" i="14"/>
  <c r="K85" i="14"/>
  <c r="L20" i="14"/>
  <c r="L4" i="14"/>
  <c r="H4" i="14"/>
  <c r="I8" i="10"/>
  <c r="I13" i="10" s="1"/>
  <c r="J67" i="11"/>
  <c r="K43" i="1"/>
  <c r="K44" i="1" s="1"/>
  <c r="K41" i="1"/>
  <c r="L67" i="11"/>
  <c r="M41" i="1"/>
  <c r="K8" i="10"/>
  <c r="K13" i="10" s="1"/>
  <c r="M43" i="1"/>
  <c r="M44" i="1" s="1"/>
  <c r="N67" i="1"/>
  <c r="N66" i="1"/>
  <c r="M31" i="11"/>
  <c r="N68" i="1"/>
  <c r="I8" i="14"/>
  <c r="I66" i="14"/>
  <c r="O40" i="1"/>
  <c r="U6" i="12"/>
  <c r="M6" i="14"/>
  <c r="O84" i="1"/>
  <c r="O85" i="1" s="1"/>
  <c r="M35" i="5"/>
  <c r="M67" i="5"/>
  <c r="M69" i="5" s="1"/>
  <c r="L41" i="1"/>
  <c r="L43" i="1"/>
  <c r="L44" i="1" s="1"/>
  <c r="J8" i="10"/>
  <c r="J13" i="10" s="1"/>
  <c r="K67" i="11"/>
  <c r="M66" i="1"/>
  <c r="M67" i="1"/>
  <c r="L31" i="11"/>
  <c r="M68" i="1"/>
  <c r="L36" i="5"/>
  <c r="L47" i="5"/>
  <c r="L61" i="5"/>
  <c r="L67" i="1"/>
  <c r="L66" i="1"/>
  <c r="K31" i="11"/>
  <c r="L68" i="1"/>
  <c r="O63" i="1"/>
  <c r="O62" i="1"/>
  <c r="H8" i="14"/>
  <c r="H66" i="14"/>
  <c r="H20" i="14"/>
  <c r="K66" i="14"/>
  <c r="K8" i="14"/>
  <c r="R29" i="1"/>
  <c r="O55" i="11"/>
  <c r="P39" i="1"/>
  <c r="J67" i="1"/>
  <c r="J68" i="1"/>
  <c r="I31" i="11"/>
  <c r="K20" i="14"/>
  <c r="Q35" i="1"/>
  <c r="I61" i="5"/>
  <c r="I36" i="5"/>
  <c r="I47" i="5"/>
  <c r="P36" i="1"/>
  <c r="O54" i="11"/>
  <c r="P38" i="1"/>
  <c r="J8" i="14"/>
  <c r="J66" i="14"/>
  <c r="M67" i="11"/>
  <c r="N41" i="1"/>
  <c r="N43" i="1"/>
  <c r="N44" i="1" s="1"/>
  <c r="G26" i="11" s="1"/>
  <c r="L8" i="10"/>
  <c r="L13" i="10" s="1"/>
  <c r="J20" i="14"/>
  <c r="H8" i="10"/>
  <c r="H13" i="10" s="1"/>
  <c r="I67" i="11"/>
  <c r="J43" i="1"/>
  <c r="J44" i="1" s="1"/>
  <c r="K67" i="1"/>
  <c r="K66" i="1"/>
  <c r="K68" i="1"/>
  <c r="J31" i="11"/>
  <c r="I20" i="14"/>
  <c r="P32" i="1"/>
  <c r="P61" i="1"/>
  <c r="P27" i="1"/>
  <c r="N56" i="11"/>
  <c r="J61" i="5"/>
  <c r="J36" i="5"/>
  <c r="J47" i="5"/>
  <c r="K36" i="5"/>
  <c r="K61" i="5"/>
  <c r="K47" i="5"/>
  <c r="L8" i="14"/>
  <c r="L66" i="14"/>
  <c r="Q34" i="1"/>
  <c r="Q31" i="1"/>
  <c r="H36" i="5"/>
  <c r="H61" i="5"/>
  <c r="H47" i="5"/>
  <c r="M13" i="14"/>
  <c r="U7" i="12"/>
  <c r="M43" i="5"/>
  <c r="R30" i="1"/>
  <c r="T39" i="12" l="1"/>
  <c r="T40" i="12" s="1"/>
  <c r="L22" i="14" s="1"/>
  <c r="J22" i="14"/>
  <c r="S39" i="12"/>
  <c r="S40" i="12" s="1"/>
  <c r="P40" i="12"/>
  <c r="Q39" i="12"/>
  <c r="Q40" i="12" s="1"/>
  <c r="L41" i="14"/>
  <c r="L85" i="14"/>
  <c r="M4" i="14"/>
  <c r="H85" i="14"/>
  <c r="H41" i="14"/>
  <c r="U8" i="12"/>
  <c r="U39" i="12" s="1"/>
  <c r="U40" i="12" s="1"/>
  <c r="S30" i="1"/>
  <c r="L45" i="10"/>
  <c r="L11" i="10"/>
  <c r="L16" i="10"/>
  <c r="R35" i="1"/>
  <c r="M69" i="1"/>
  <c r="M70" i="1" s="1"/>
  <c r="L33" i="11" s="1"/>
  <c r="L34" i="11" s="1"/>
  <c r="M15" i="14"/>
  <c r="M20" i="14"/>
  <c r="L68" i="14"/>
  <c r="L67" i="14"/>
  <c r="L70" i="14"/>
  <c r="L69" i="14"/>
  <c r="I60" i="5"/>
  <c r="I63" i="5" s="1"/>
  <c r="I48" i="5"/>
  <c r="I69" i="14"/>
  <c r="I70" i="14"/>
  <c r="I68" i="14"/>
  <c r="I67" i="14"/>
  <c r="H48" i="5"/>
  <c r="H60" i="5"/>
  <c r="Q27" i="1"/>
  <c r="Q32" i="1"/>
  <c r="Q61" i="1"/>
  <c r="H45" i="10"/>
  <c r="H16" i="10"/>
  <c r="H11" i="10"/>
  <c r="P84" i="1"/>
  <c r="P85" i="1" s="1"/>
  <c r="N35" i="5"/>
  <c r="N67" i="5"/>
  <c r="N69" i="5" s="1"/>
  <c r="N6" i="14"/>
  <c r="V6" i="12"/>
  <c r="P40" i="1"/>
  <c r="J69" i="1"/>
  <c r="J70" i="1" s="1"/>
  <c r="J71" i="1" s="1"/>
  <c r="S29" i="1"/>
  <c r="O67" i="1"/>
  <c r="O66" i="1"/>
  <c r="O68" i="1"/>
  <c r="N31" i="11"/>
  <c r="J16" i="10"/>
  <c r="J17" i="10" s="1"/>
  <c r="J47" i="10" s="1"/>
  <c r="J11" i="10"/>
  <c r="J45" i="10"/>
  <c r="M36" i="5"/>
  <c r="M61" i="5"/>
  <c r="M47" i="5"/>
  <c r="N67" i="11"/>
  <c r="O43" i="1"/>
  <c r="O44" i="1" s="1"/>
  <c r="O41" i="1"/>
  <c r="M8" i="10"/>
  <c r="M13" i="10" s="1"/>
  <c r="K11" i="10"/>
  <c r="K16" i="10"/>
  <c r="K45" i="10"/>
  <c r="M44" i="5"/>
  <c r="M62" i="5"/>
  <c r="P54" i="11"/>
  <c r="Q38" i="1"/>
  <c r="Q36" i="1"/>
  <c r="J48" i="5"/>
  <c r="J60" i="5"/>
  <c r="J63" i="5" s="1"/>
  <c r="G27" i="11"/>
  <c r="K26" i="11"/>
  <c r="S26" i="11"/>
  <c r="O56" i="11"/>
  <c r="P55" i="11"/>
  <c r="Q39" i="1"/>
  <c r="R31" i="1"/>
  <c r="R34" i="1"/>
  <c r="H69" i="14"/>
  <c r="H67" i="14"/>
  <c r="H70" i="14"/>
  <c r="H68" i="14"/>
  <c r="L69" i="1"/>
  <c r="L70" i="1" s="1"/>
  <c r="K33" i="11" s="1"/>
  <c r="K34" i="11" s="1"/>
  <c r="N69" i="1"/>
  <c r="N70" i="1" s="1"/>
  <c r="M33" i="11" s="1"/>
  <c r="M34" i="11" s="1"/>
  <c r="I16" i="10"/>
  <c r="I17" i="10" s="1"/>
  <c r="I47" i="10" s="1"/>
  <c r="I45" i="10"/>
  <c r="I11" i="10"/>
  <c r="K48" i="5"/>
  <c r="K60" i="5"/>
  <c r="K63" i="5" s="1"/>
  <c r="P63" i="1"/>
  <c r="P62" i="1"/>
  <c r="K69" i="1"/>
  <c r="K70" i="1" s="1"/>
  <c r="J33" i="11" s="1"/>
  <c r="J34" i="11" s="1"/>
  <c r="J69" i="14"/>
  <c r="J70" i="14"/>
  <c r="J67" i="14"/>
  <c r="J68" i="14"/>
  <c r="N13" i="14"/>
  <c r="V7" i="12"/>
  <c r="N43" i="5"/>
  <c r="K69" i="14"/>
  <c r="K70" i="14"/>
  <c r="K67" i="14"/>
  <c r="K68" i="14"/>
  <c r="L60" i="5"/>
  <c r="L63" i="5" s="1"/>
  <c r="L48" i="5"/>
  <c r="M8" i="14"/>
  <c r="M66" i="14"/>
  <c r="L36" i="14" l="1"/>
  <c r="J36" i="14"/>
  <c r="H22" i="14"/>
  <c r="K22" i="14"/>
  <c r="I22" i="14"/>
  <c r="M41" i="14"/>
  <c r="M85" i="14"/>
  <c r="N4" i="14"/>
  <c r="K17" i="10"/>
  <c r="K47" i="10" s="1"/>
  <c r="L71" i="1"/>
  <c r="Q54" i="11"/>
  <c r="R36" i="1"/>
  <c r="R38" i="1"/>
  <c r="M16" i="10"/>
  <c r="M45" i="10"/>
  <c r="M11" i="10"/>
  <c r="N8" i="14"/>
  <c r="N66" i="14"/>
  <c r="H17" i="10"/>
  <c r="Q63" i="1"/>
  <c r="Q62" i="1"/>
  <c r="J71" i="14"/>
  <c r="K71" i="1"/>
  <c r="H71" i="14"/>
  <c r="R27" i="1"/>
  <c r="R32" i="1"/>
  <c r="R61" i="1"/>
  <c r="Q84" i="1"/>
  <c r="Q85" i="1" s="1"/>
  <c r="O6" i="14"/>
  <c r="W6" i="12"/>
  <c r="O67" i="5"/>
  <c r="O69" i="5" s="1"/>
  <c r="Q40" i="1"/>
  <c r="O35" i="5"/>
  <c r="M60" i="5"/>
  <c r="M63" i="5" s="1"/>
  <c r="M48" i="5"/>
  <c r="I33" i="11"/>
  <c r="I34" i="11" s="1"/>
  <c r="L17" i="10"/>
  <c r="L47" i="10" s="1"/>
  <c r="N15" i="14"/>
  <c r="N20" i="14"/>
  <c r="M68" i="14"/>
  <c r="M69" i="14"/>
  <c r="M67" i="14"/>
  <c r="M70" i="14"/>
  <c r="K71" i="14"/>
  <c r="N62" i="5"/>
  <c r="N44" i="5"/>
  <c r="P56" i="11"/>
  <c r="O69" i="1"/>
  <c r="O70" i="1" s="1"/>
  <c r="N33" i="11" s="1"/>
  <c r="N34" i="11" s="1"/>
  <c r="S31" i="1"/>
  <c r="S34" i="1"/>
  <c r="O67" i="11"/>
  <c r="P41" i="1"/>
  <c r="N8" i="10"/>
  <c r="N13" i="10" s="1"/>
  <c r="P43" i="1"/>
  <c r="P44" i="1" s="1"/>
  <c r="I71" i="14"/>
  <c r="M22" i="14"/>
  <c r="L71" i="14"/>
  <c r="R39" i="1"/>
  <c r="Q55" i="11"/>
  <c r="T30" i="1"/>
  <c r="P68" i="1"/>
  <c r="P66" i="1"/>
  <c r="P67" i="1"/>
  <c r="O31" i="11"/>
  <c r="N71" i="1"/>
  <c r="W7" i="12"/>
  <c r="O43" i="5"/>
  <c r="O13" i="14"/>
  <c r="W26" i="11"/>
  <c r="K27" i="11"/>
  <c r="T29" i="1"/>
  <c r="V8" i="12"/>
  <c r="N47" i="5"/>
  <c r="N36" i="5"/>
  <c r="N61" i="5"/>
  <c r="H63" i="5"/>
  <c r="M71" i="1"/>
  <c r="S35" i="1"/>
  <c r="K36" i="14" l="1"/>
  <c r="I36" i="14"/>
  <c r="H36" i="14"/>
  <c r="V39" i="12"/>
  <c r="N41" i="14"/>
  <c r="N85" i="14"/>
  <c r="O4" i="14"/>
  <c r="O85" i="14" s="1"/>
  <c r="M17" i="10"/>
  <c r="M47" i="10" s="1"/>
  <c r="T31" i="1"/>
  <c r="T34" i="1"/>
  <c r="U30" i="1"/>
  <c r="O47" i="5"/>
  <c r="O61" i="5"/>
  <c r="O36" i="5"/>
  <c r="O8" i="14"/>
  <c r="O66" i="14"/>
  <c r="J72" i="14"/>
  <c r="R41" i="12"/>
  <c r="J23" i="14"/>
  <c r="U29" i="1"/>
  <c r="P69" i="1"/>
  <c r="P70" i="1" s="1"/>
  <c r="O33" i="11" s="1"/>
  <c r="O34" i="11" s="1"/>
  <c r="M36" i="14"/>
  <c r="N45" i="10"/>
  <c r="N16" i="10"/>
  <c r="N11" i="10"/>
  <c r="S36" i="1"/>
  <c r="S38" i="1"/>
  <c r="R54" i="11"/>
  <c r="O71" i="1"/>
  <c r="K72" i="14"/>
  <c r="K23" i="14"/>
  <c r="S41" i="12"/>
  <c r="Q41" i="1"/>
  <c r="O8" i="10"/>
  <c r="O13" i="10" s="1"/>
  <c r="P67" i="11"/>
  <c r="Q43" i="1"/>
  <c r="Q44" i="1" s="1"/>
  <c r="H47" i="10"/>
  <c r="R84" i="1"/>
  <c r="R85" i="1" s="1"/>
  <c r="X6" i="12"/>
  <c r="P67" i="5"/>
  <c r="P69" i="5" s="1"/>
  <c r="P35" i="5"/>
  <c r="P6" i="14"/>
  <c r="R40" i="1"/>
  <c r="S39" i="1"/>
  <c r="R55" i="11"/>
  <c r="N60" i="5"/>
  <c r="N48" i="5"/>
  <c r="O15" i="14"/>
  <c r="O20" i="14"/>
  <c r="X7" i="12"/>
  <c r="P43" i="5"/>
  <c r="P13" i="14"/>
  <c r="I23" i="14"/>
  <c r="Q41" i="12"/>
  <c r="I72" i="14"/>
  <c r="S32" i="1"/>
  <c r="S27" i="1"/>
  <c r="S61" i="1"/>
  <c r="P41" i="12"/>
  <c r="K4" i="8" s="1"/>
  <c r="H72" i="14"/>
  <c r="H23" i="14"/>
  <c r="O62" i="5"/>
  <c r="O44" i="5"/>
  <c r="T35" i="1"/>
  <c r="T39" i="1" s="1"/>
  <c r="L23" i="14"/>
  <c r="L72" i="14"/>
  <c r="T41" i="12"/>
  <c r="T42" i="12" s="1"/>
  <c r="M71" i="14"/>
  <c r="W8" i="12"/>
  <c r="W39" i="12" s="1"/>
  <c r="W40" i="12" s="1"/>
  <c r="R62" i="1"/>
  <c r="R63" i="1"/>
  <c r="Q67" i="1"/>
  <c r="Q68" i="1"/>
  <c r="Q66" i="1"/>
  <c r="P31" i="11"/>
  <c r="N68" i="14"/>
  <c r="N69" i="14"/>
  <c r="N70" i="14"/>
  <c r="N67" i="14"/>
  <c r="Q56" i="11"/>
  <c r="K6" i="8" l="1"/>
  <c r="K13" i="8" s="1"/>
  <c r="K15" i="8" s="1"/>
  <c r="K17" i="8" s="1"/>
  <c r="S42" i="12"/>
  <c r="N4" i="8"/>
  <c r="N6" i="8" s="1"/>
  <c r="N13" i="8" s="1"/>
  <c r="N15" i="8" s="1"/>
  <c r="N17" i="8" s="1"/>
  <c r="Q42" i="12"/>
  <c r="L4" i="8"/>
  <c r="L6" i="8" s="1"/>
  <c r="L13" i="8" s="1"/>
  <c r="L15" i="8" s="1"/>
  <c r="L17" i="8" s="1"/>
  <c r="R42" i="12"/>
  <c r="M4" i="8"/>
  <c r="M6" i="8" s="1"/>
  <c r="M13" i="8" s="1"/>
  <c r="M15" i="8" s="1"/>
  <c r="M17" i="8" s="1"/>
  <c r="V40" i="12"/>
  <c r="N22" i="14" s="1"/>
  <c r="P4" i="14"/>
  <c r="O41" i="14"/>
  <c r="P71" i="1"/>
  <c r="X8" i="12"/>
  <c r="L37" i="14"/>
  <c r="K37" i="14"/>
  <c r="V30" i="1"/>
  <c r="O22" i="14"/>
  <c r="R41" i="1"/>
  <c r="Q67" i="11"/>
  <c r="R43" i="1"/>
  <c r="R44" i="1" s="1"/>
  <c r="P8" i="10"/>
  <c r="P13" i="10" s="1"/>
  <c r="O45" i="10"/>
  <c r="O16" i="10"/>
  <c r="O11" i="10"/>
  <c r="V29" i="1"/>
  <c r="P42" i="12"/>
  <c r="P44" i="5"/>
  <c r="P62" i="5"/>
  <c r="N63" i="5"/>
  <c r="P66" i="14"/>
  <c r="P8" i="14"/>
  <c r="N17" i="10"/>
  <c r="U31" i="1"/>
  <c r="U34" i="1"/>
  <c r="T36" i="1"/>
  <c r="T38" i="1"/>
  <c r="H37" i="14"/>
  <c r="I37" i="14"/>
  <c r="Q13" i="14"/>
  <c r="Y7" i="12"/>
  <c r="Q43" i="5"/>
  <c r="Y6" i="12"/>
  <c r="Q6" i="14"/>
  <c r="S40" i="1"/>
  <c r="S84" i="1"/>
  <c r="S85" i="1" s="1"/>
  <c r="Q67" i="5"/>
  <c r="Q69" i="5" s="1"/>
  <c r="Q35" i="5"/>
  <c r="Q69" i="1"/>
  <c r="Q70" i="1" s="1"/>
  <c r="Q71" i="1" s="1"/>
  <c r="P15" i="14"/>
  <c r="P20" i="14"/>
  <c r="N71" i="14"/>
  <c r="R67" i="1"/>
  <c r="R66" i="1"/>
  <c r="Q31" i="11"/>
  <c r="R68" i="1"/>
  <c r="M72" i="14"/>
  <c r="M23" i="14"/>
  <c r="U41" i="12"/>
  <c r="U42" i="12" s="1"/>
  <c r="S62" i="1"/>
  <c r="S63" i="1"/>
  <c r="P47" i="5"/>
  <c r="P61" i="5"/>
  <c r="P36" i="5"/>
  <c r="R56" i="11"/>
  <c r="J37" i="14"/>
  <c r="O69" i="14"/>
  <c r="O70" i="14"/>
  <c r="O68" i="14"/>
  <c r="O67" i="14"/>
  <c r="O48" i="5"/>
  <c r="O60" i="5"/>
  <c r="O63" i="5" s="1"/>
  <c r="U35" i="1"/>
  <c r="U39" i="1" s="1"/>
  <c r="T32" i="1"/>
  <c r="T27" i="1"/>
  <c r="T61" i="1"/>
  <c r="M21" i="8" l="1"/>
  <c r="M24" i="8" s="1"/>
  <c r="M26" i="8" s="1"/>
  <c r="M28" i="8" s="1"/>
  <c r="N21" i="8"/>
  <c r="N24" i="8" s="1"/>
  <c r="N26" i="8" s="1"/>
  <c r="N28" i="8" s="1"/>
  <c r="L21" i="8"/>
  <c r="L24" i="8" s="1"/>
  <c r="L26" i="8" s="1"/>
  <c r="L28" i="8" s="1"/>
  <c r="K21" i="8"/>
  <c r="K24" i="8" s="1"/>
  <c r="K26" i="8" s="1"/>
  <c r="K28" i="8" s="1"/>
  <c r="K30" i="8" s="1"/>
  <c r="P47" i="12" s="1"/>
  <c r="K18" i="8"/>
  <c r="L18" i="8" s="1"/>
  <c r="M18" i="8" s="1"/>
  <c r="N18" i="8" s="1"/>
  <c r="X39" i="12"/>
  <c r="N36" i="14"/>
  <c r="P41" i="14"/>
  <c r="P85" i="14"/>
  <c r="Q4" i="14"/>
  <c r="O17" i="10"/>
  <c r="O47" i="10" s="1"/>
  <c r="O71" i="14"/>
  <c r="O23" i="14" s="1"/>
  <c r="S67" i="1"/>
  <c r="S66" i="1"/>
  <c r="R31" i="11"/>
  <c r="S68" i="1"/>
  <c r="Q62" i="5"/>
  <c r="Q44" i="5"/>
  <c r="T62" i="1"/>
  <c r="T63" i="1"/>
  <c r="R69" i="1"/>
  <c r="R70" i="1" s="1"/>
  <c r="Q33" i="11" s="1"/>
  <c r="Q34" i="11" s="1"/>
  <c r="Q61" i="5"/>
  <c r="Q36" i="5"/>
  <c r="Q47" i="5"/>
  <c r="T84" i="1"/>
  <c r="T85" i="1" s="1"/>
  <c r="T40" i="1"/>
  <c r="U27" i="1"/>
  <c r="U61" i="1"/>
  <c r="U32" i="1"/>
  <c r="N72" i="14"/>
  <c r="N23" i="14"/>
  <c r="V41" i="12"/>
  <c r="Q8" i="14"/>
  <c r="Q66" i="14"/>
  <c r="Q15" i="14"/>
  <c r="Q20" i="14"/>
  <c r="P45" i="10"/>
  <c r="P16" i="10"/>
  <c r="P11" i="10"/>
  <c r="O36" i="14"/>
  <c r="M37" i="14"/>
  <c r="P33" i="11"/>
  <c r="P34" i="11" s="1"/>
  <c r="Y8" i="12"/>
  <c r="M19" i="12" s="1"/>
  <c r="U36" i="1"/>
  <c r="U38" i="1"/>
  <c r="P69" i="14"/>
  <c r="P67" i="14"/>
  <c r="P70" i="14"/>
  <c r="P68" i="14"/>
  <c r="V31" i="1"/>
  <c r="V34" i="1"/>
  <c r="W30" i="1"/>
  <c r="P60" i="5"/>
  <c r="P48" i="5"/>
  <c r="W29" i="1"/>
  <c r="V35" i="1"/>
  <c r="V39" i="1" s="1"/>
  <c r="R67" i="11"/>
  <c r="S43" i="1"/>
  <c r="S44" i="1" s="1"/>
  <c r="Q8" i="10"/>
  <c r="Q13" i="10" s="1"/>
  <c r="S41" i="1"/>
  <c r="N47" i="10"/>
  <c r="L29" i="8" l="1"/>
  <c r="L30" i="8" s="1"/>
  <c r="Y39" i="12"/>
  <c r="Y40" i="12" s="1"/>
  <c r="Q22" i="14" s="1"/>
  <c r="X40" i="12"/>
  <c r="P22" i="14" s="1"/>
  <c r="R4" i="14"/>
  <c r="R21" i="14" s="1"/>
  <c r="R26" i="14" s="1"/>
  <c r="R30" i="14" s="1"/>
  <c r="Q85" i="14"/>
  <c r="Q41" i="14"/>
  <c r="W41" i="12"/>
  <c r="W42" i="12" s="1"/>
  <c r="O72" i="14"/>
  <c r="Q45" i="10"/>
  <c r="Q16" i="10"/>
  <c r="Q11" i="10"/>
  <c r="R8" i="10"/>
  <c r="R12" i="10" s="1"/>
  <c r="R18" i="10" s="1"/>
  <c r="R21" i="10" s="1"/>
  <c r="R25" i="10" s="1"/>
  <c r="Y29" i="1"/>
  <c r="X29" i="1"/>
  <c r="P63" i="5"/>
  <c r="W35" i="1"/>
  <c r="W39" i="1" s="1"/>
  <c r="V36" i="1"/>
  <c r="V38" i="1"/>
  <c r="N37" i="14"/>
  <c r="X30" i="1"/>
  <c r="X35" i="1" s="1"/>
  <c r="X39" i="1" s="1"/>
  <c r="Y30" i="1"/>
  <c r="Y35" i="1" s="1"/>
  <c r="Y39" i="1" s="1"/>
  <c r="V32" i="1"/>
  <c r="V27" i="1"/>
  <c r="V61" i="1"/>
  <c r="P71" i="14"/>
  <c r="U63" i="1"/>
  <c r="U62" i="1"/>
  <c r="R71" i="1"/>
  <c r="S69" i="1"/>
  <c r="S70" i="1" s="1"/>
  <c r="R33" i="11" s="1"/>
  <c r="R34" i="11" s="1"/>
  <c r="O37" i="14"/>
  <c r="P17" i="10"/>
  <c r="T66" i="1"/>
  <c r="T67" i="1"/>
  <c r="T68" i="1"/>
  <c r="W34" i="1"/>
  <c r="W31" i="1"/>
  <c r="U84" i="1"/>
  <c r="U85" i="1" s="1"/>
  <c r="U40" i="1"/>
  <c r="Q70" i="14"/>
  <c r="Q69" i="14"/>
  <c r="Q68" i="14"/>
  <c r="Q67" i="14"/>
  <c r="V42" i="12"/>
  <c r="T43" i="1"/>
  <c r="T44" i="1" s="1"/>
  <c r="T41" i="1"/>
  <c r="Q48" i="5"/>
  <c r="Q60" i="5"/>
  <c r="Q63" i="5" s="1"/>
  <c r="M29" i="8" l="1"/>
  <c r="M30" i="8" s="1"/>
  <c r="Q47" i="12"/>
  <c r="Q36" i="14"/>
  <c r="L39" i="12"/>
  <c r="L40" i="12" s="1"/>
  <c r="P36" i="14"/>
  <c r="R55" i="14"/>
  <c r="R75" i="14"/>
  <c r="L41" i="12"/>
  <c r="L42" i="12" s="1"/>
  <c r="U41" i="1"/>
  <c r="U43" i="1"/>
  <c r="U44" i="1" s="1"/>
  <c r="W36" i="1"/>
  <c r="W38" i="1"/>
  <c r="Q71" i="14"/>
  <c r="W32" i="1"/>
  <c r="W27" i="1"/>
  <c r="W61" i="1"/>
  <c r="V84" i="1"/>
  <c r="V85" i="1" s="1"/>
  <c r="V40" i="1"/>
  <c r="R27" i="10"/>
  <c r="R39" i="10"/>
  <c r="R30" i="10"/>
  <c r="R32" i="10" s="1"/>
  <c r="R76" i="14"/>
  <c r="T69" i="1"/>
  <c r="T70" i="1" s="1"/>
  <c r="T71" i="1" s="1"/>
  <c r="U66" i="1"/>
  <c r="U68" i="1"/>
  <c r="U67" i="1"/>
  <c r="X41" i="12"/>
  <c r="X42" i="12" s="1"/>
  <c r="P23" i="14"/>
  <c r="P72" i="14"/>
  <c r="X31" i="1"/>
  <c r="X34" i="1"/>
  <c r="P47" i="10"/>
  <c r="S71" i="1"/>
  <c r="V63" i="1"/>
  <c r="V62" i="1"/>
  <c r="Y31" i="1"/>
  <c r="Y34" i="1"/>
  <c r="Q17" i="10"/>
  <c r="Q47" i="10" s="1"/>
  <c r="N29" i="8" l="1"/>
  <c r="N30" i="8" s="1"/>
  <c r="R47" i="12"/>
  <c r="R77" i="14"/>
  <c r="X36" i="1"/>
  <c r="X38" i="1"/>
  <c r="V41" i="1"/>
  <c r="V43" i="1"/>
  <c r="V44" i="1" s="1"/>
  <c r="Y36" i="1"/>
  <c r="Y38" i="1"/>
  <c r="V66" i="1"/>
  <c r="V67" i="1"/>
  <c r="V68" i="1"/>
  <c r="X32" i="1"/>
  <c r="X27" i="1"/>
  <c r="X61" i="1"/>
  <c r="P37" i="14"/>
  <c r="W40" i="1"/>
  <c r="W84" i="1"/>
  <c r="W85" i="1" s="1"/>
  <c r="Y32" i="1"/>
  <c r="Y61" i="1"/>
  <c r="Y27" i="1"/>
  <c r="W62" i="1"/>
  <c r="W63" i="1"/>
  <c r="Y41" i="12"/>
  <c r="Y42" i="12" s="1"/>
  <c r="Q72" i="14"/>
  <c r="Q23" i="14"/>
  <c r="U69" i="1"/>
  <c r="U70" i="1" s="1"/>
  <c r="U71" i="1" s="1"/>
  <c r="S47" i="12" l="1"/>
  <c r="W66" i="1"/>
  <c r="W67" i="1"/>
  <c r="W68" i="1"/>
  <c r="Y63" i="1"/>
  <c r="Y62" i="1"/>
  <c r="Q37" i="14"/>
  <c r="X63" i="1"/>
  <c r="X62" i="1"/>
  <c r="Y84" i="1"/>
  <c r="Y85" i="1" s="1"/>
  <c r="Y40" i="1"/>
  <c r="X84" i="1"/>
  <c r="X85" i="1" s="1"/>
  <c r="X40" i="1"/>
  <c r="W43" i="1"/>
  <c r="W44" i="1" s="1"/>
  <c r="W41" i="1"/>
  <c r="V69" i="1"/>
  <c r="V70" i="1" s="1"/>
  <c r="V71" i="1" s="1"/>
  <c r="X41" i="1" l="1"/>
  <c r="X43" i="1"/>
  <c r="X44" i="1" s="1"/>
  <c r="Y41" i="1"/>
  <c r="Y43" i="1"/>
  <c r="Y44" i="1" s="1"/>
  <c r="X66" i="1"/>
  <c r="X68" i="1"/>
  <c r="X67" i="1"/>
  <c r="Y66" i="1"/>
  <c r="Y67" i="1"/>
  <c r="Y68" i="1"/>
  <c r="W69" i="1"/>
  <c r="W70" i="1" s="1"/>
  <c r="W71" i="1" s="1"/>
  <c r="D37" i="14" l="1"/>
  <c r="Y69" i="1"/>
  <c r="Y70" i="1" s="1"/>
  <c r="Y71" i="1" s="1"/>
  <c r="X69" i="1"/>
  <c r="X70" i="1" s="1"/>
  <c r="X71" i="1" s="1"/>
  <c r="I70" i="1" l="1"/>
  <c r="R24" i="11" s="1"/>
  <c r="S24" i="11" s="1"/>
  <c r="S25" i="11" s="1"/>
  <c r="I71" i="1"/>
  <c r="V24" i="11" s="1"/>
  <c r="W24" i="11" s="1"/>
  <c r="W25" i="11" s="1"/>
  <c r="P44" i="11" l="1"/>
  <c r="P45" i="11" s="1"/>
  <c r="Q44" i="11"/>
  <c r="Q45" i="11" s="1"/>
  <c r="W27" i="11"/>
  <c r="O44" i="11"/>
  <c r="O45" i="11" s="1"/>
  <c r="I44" i="11"/>
  <c r="I45" i="11" s="1"/>
  <c r="K44" i="11"/>
  <c r="K45" i="11" s="1"/>
  <c r="J44" i="11"/>
  <c r="J45" i="11" s="1"/>
  <c r="N44" i="11"/>
  <c r="N45" i="11" s="1"/>
  <c r="M44" i="11"/>
  <c r="M45" i="11" s="1"/>
  <c r="R44" i="11"/>
  <c r="R45" i="11" s="1"/>
  <c r="L44" i="11"/>
  <c r="L45" i="11" s="1"/>
  <c r="P37" i="11"/>
  <c r="P38" i="11" s="1"/>
  <c r="P39" i="11" s="1"/>
  <c r="P41" i="11" s="1"/>
  <c r="N37" i="11"/>
  <c r="N38" i="11" s="1"/>
  <c r="N39" i="11" s="1"/>
  <c r="N41" i="11" s="1"/>
  <c r="M37" i="11"/>
  <c r="M38" i="11" s="1"/>
  <c r="M39" i="11" s="1"/>
  <c r="M41" i="11" s="1"/>
  <c r="J37" i="11"/>
  <c r="J38" i="11" s="1"/>
  <c r="J39" i="11" s="1"/>
  <c r="J41" i="11" s="1"/>
  <c r="I37" i="11"/>
  <c r="I38" i="11" s="1"/>
  <c r="I39" i="11" s="1"/>
  <c r="I41" i="11" s="1"/>
  <c r="L37" i="11"/>
  <c r="L38" i="11" s="1"/>
  <c r="L39" i="11" s="1"/>
  <c r="L41" i="11" s="1"/>
  <c r="O37" i="11"/>
  <c r="O38" i="11" s="1"/>
  <c r="O39" i="11" s="1"/>
  <c r="O41" i="11" s="1"/>
  <c r="R37" i="11"/>
  <c r="R38" i="11" s="1"/>
  <c r="R39" i="11" s="1"/>
  <c r="R41" i="11" s="1"/>
  <c r="K37" i="11"/>
  <c r="K38" i="11" s="1"/>
  <c r="K39" i="11" s="1"/>
  <c r="K41" i="11" s="1"/>
  <c r="Q37" i="11"/>
  <c r="Q38" i="11" s="1"/>
  <c r="Q39" i="11" s="1"/>
  <c r="Q41" i="11" s="1"/>
  <c r="S27" i="11"/>
  <c r="N46" i="11" l="1"/>
  <c r="N48" i="11" s="1"/>
  <c r="N59" i="11"/>
  <c r="O46" i="11"/>
  <c r="O48" i="11" s="1"/>
  <c r="O59" i="11"/>
  <c r="L46" i="11"/>
  <c r="L48" i="11" s="1"/>
  <c r="L59" i="11"/>
  <c r="J46" i="11"/>
  <c r="J48" i="11" s="1"/>
  <c r="J59" i="11"/>
  <c r="R46" i="11"/>
  <c r="R48" i="11" s="1"/>
  <c r="R59" i="11"/>
  <c r="K46" i="11"/>
  <c r="K48" i="11" s="1"/>
  <c r="K59" i="11"/>
  <c r="Q46" i="11"/>
  <c r="Q48" i="11" s="1"/>
  <c r="Q59" i="11"/>
  <c r="M46" i="11"/>
  <c r="M48" i="11" s="1"/>
  <c r="M59" i="11"/>
  <c r="I46" i="11"/>
  <c r="I48" i="11" s="1"/>
  <c r="F49" i="11" s="1"/>
  <c r="J70" i="11" s="1"/>
  <c r="N10" i="12" s="1"/>
  <c r="I59" i="11"/>
  <c r="P46" i="11"/>
  <c r="P48" i="11" s="1"/>
  <c r="P59" i="11"/>
  <c r="F42" i="11"/>
  <c r="H42" i="11"/>
  <c r="H49" i="11"/>
  <c r="P64" i="11" l="1"/>
  <c r="O42" i="14" s="1"/>
  <c r="O10" i="10"/>
  <c r="P57" i="11"/>
  <c r="P68" i="11"/>
  <c r="L10" i="10"/>
  <c r="M57" i="11"/>
  <c r="M64" i="11"/>
  <c r="L42" i="14" s="1"/>
  <c r="M68" i="11"/>
  <c r="K64" i="11"/>
  <c r="J42" i="14" s="1"/>
  <c r="J10" i="10"/>
  <c r="K57" i="11"/>
  <c r="K68" i="11"/>
  <c r="I10" i="10"/>
  <c r="J68" i="11"/>
  <c r="J64" i="11"/>
  <c r="I42" i="14" s="1"/>
  <c r="J57" i="11"/>
  <c r="O64" i="11"/>
  <c r="N42" i="14" s="1"/>
  <c r="O57" i="11"/>
  <c r="N10" i="10"/>
  <c r="O68" i="11"/>
  <c r="I68" i="11"/>
  <c r="I64" i="11"/>
  <c r="H42" i="14" s="1"/>
  <c r="H10" i="10"/>
  <c r="I57" i="11"/>
  <c r="Q68" i="11"/>
  <c r="P10" i="10"/>
  <c r="Q64" i="11"/>
  <c r="P42" i="14" s="1"/>
  <c r="Q57" i="11"/>
  <c r="R64" i="11"/>
  <c r="Q42" i="14" s="1"/>
  <c r="R68" i="11"/>
  <c r="Q10" i="10"/>
  <c r="R57" i="11"/>
  <c r="K10" i="10"/>
  <c r="L68" i="11"/>
  <c r="L64" i="11"/>
  <c r="K42" i="14" s="1"/>
  <c r="L57" i="11"/>
  <c r="N57" i="11"/>
  <c r="M10" i="10"/>
  <c r="N64" i="11"/>
  <c r="M42" i="14" s="1"/>
  <c r="N68" i="11"/>
  <c r="F65" i="11" l="1"/>
  <c r="L60" i="11"/>
  <c r="K7" i="14" s="1"/>
  <c r="M79" i="1"/>
  <c r="M80" i="1" s="1"/>
  <c r="M82" i="1" s="1"/>
  <c r="K71" i="5" s="1"/>
  <c r="L61" i="11"/>
  <c r="K14" i="14" s="1"/>
  <c r="K16" i="14" s="1"/>
  <c r="K18" i="14" s="1"/>
  <c r="S79" i="1"/>
  <c r="R61" i="11"/>
  <c r="Q14" i="14" s="1"/>
  <c r="Q16" i="14" s="1"/>
  <c r="Q18" i="14" s="1"/>
  <c r="R60" i="11"/>
  <c r="Q7" i="14" s="1"/>
  <c r="Q61" i="11"/>
  <c r="P14" i="14" s="1"/>
  <c r="P16" i="14" s="1"/>
  <c r="P18" i="14" s="1"/>
  <c r="R79" i="1"/>
  <c r="R80" i="1" s="1"/>
  <c r="R82" i="1" s="1"/>
  <c r="P71" i="5" s="1"/>
  <c r="Q60" i="11"/>
  <c r="P7" i="14" s="1"/>
  <c r="J79" i="1"/>
  <c r="J80" i="1" s="1"/>
  <c r="J82" i="1" s="1"/>
  <c r="H71" i="5" s="1"/>
  <c r="I60" i="11"/>
  <c r="H7" i="14" s="1"/>
  <c r="I61" i="11"/>
  <c r="H14" i="14" s="1"/>
  <c r="H16" i="14" s="1"/>
  <c r="H18" i="14" s="1"/>
  <c r="J61" i="11"/>
  <c r="I14" i="14" s="1"/>
  <c r="I16" i="14" s="1"/>
  <c r="I18" i="14" s="1"/>
  <c r="J60" i="11"/>
  <c r="I7" i="14" s="1"/>
  <c r="K79" i="1"/>
  <c r="K80" i="1" s="1"/>
  <c r="K82" i="1" s="1"/>
  <c r="I71" i="5" s="1"/>
  <c r="Q46" i="10"/>
  <c r="Q48" i="10" s="1"/>
  <c r="Q50" i="10" s="1"/>
  <c r="Q12" i="10"/>
  <c r="Q18" i="10" s="1"/>
  <c r="Q21" i="10" s="1"/>
  <c r="Q25" i="10" s="1"/>
  <c r="H46" i="10"/>
  <c r="H48" i="10" s="1"/>
  <c r="H12" i="10"/>
  <c r="H18" i="10" s="1"/>
  <c r="H21" i="10" s="1"/>
  <c r="H25" i="10" s="1"/>
  <c r="N46" i="10"/>
  <c r="N48" i="10" s="1"/>
  <c r="N12" i="10"/>
  <c r="N18" i="10" s="1"/>
  <c r="N21" i="10" s="1"/>
  <c r="N25" i="10" s="1"/>
  <c r="K61" i="11"/>
  <c r="J14" i="14" s="1"/>
  <c r="J16" i="14" s="1"/>
  <c r="J18" i="14" s="1"/>
  <c r="L79" i="1"/>
  <c r="L80" i="1" s="1"/>
  <c r="L82" i="1" s="1"/>
  <c r="J71" i="5" s="1"/>
  <c r="K60" i="11"/>
  <c r="J7" i="14" s="1"/>
  <c r="Q79" i="1"/>
  <c r="Q80" i="1" s="1"/>
  <c r="Q82" i="1" s="1"/>
  <c r="O71" i="5" s="1"/>
  <c r="P61" i="11"/>
  <c r="O14" i="14" s="1"/>
  <c r="O16" i="14" s="1"/>
  <c r="O18" i="14" s="1"/>
  <c r="P60" i="11"/>
  <c r="O7" i="14" s="1"/>
  <c r="M46" i="10"/>
  <c r="M48" i="10" s="1"/>
  <c r="M12" i="10"/>
  <c r="M18" i="10" s="1"/>
  <c r="M21" i="10" s="1"/>
  <c r="M25" i="10" s="1"/>
  <c r="P12" i="10"/>
  <c r="P18" i="10" s="1"/>
  <c r="P21" i="10" s="1"/>
  <c r="P25" i="10" s="1"/>
  <c r="P46" i="10"/>
  <c r="P48" i="10" s="1"/>
  <c r="P79" i="1"/>
  <c r="P80" i="1" s="1"/>
  <c r="P82" i="1" s="1"/>
  <c r="N71" i="5" s="1"/>
  <c r="O61" i="11"/>
  <c r="N14" i="14" s="1"/>
  <c r="N16" i="14" s="1"/>
  <c r="N18" i="14" s="1"/>
  <c r="O60" i="11"/>
  <c r="N7" i="14" s="1"/>
  <c r="J46" i="10"/>
  <c r="J48" i="10" s="1"/>
  <c r="J12" i="10"/>
  <c r="J18" i="10" s="1"/>
  <c r="J21" i="10" s="1"/>
  <c r="J25" i="10" s="1"/>
  <c r="M61" i="11"/>
  <c r="L14" i="14" s="1"/>
  <c r="L16" i="14" s="1"/>
  <c r="L18" i="14" s="1"/>
  <c r="N79" i="1"/>
  <c r="N80" i="1" s="1"/>
  <c r="N82" i="1" s="1"/>
  <c r="L71" i="5" s="1"/>
  <c r="M60" i="11"/>
  <c r="L7" i="14" s="1"/>
  <c r="O46" i="10"/>
  <c r="O48" i="10" s="1"/>
  <c r="O12" i="10"/>
  <c r="O18" i="10" s="1"/>
  <c r="O21" i="10" s="1"/>
  <c r="O25" i="10" s="1"/>
  <c r="O79" i="1"/>
  <c r="O80" i="1" s="1"/>
  <c r="O82" i="1" s="1"/>
  <c r="M71" i="5" s="1"/>
  <c r="N60" i="11"/>
  <c r="M7" i="14" s="1"/>
  <c r="N61" i="11"/>
  <c r="M14" i="14" s="1"/>
  <c r="M16" i="14" s="1"/>
  <c r="M18" i="14" s="1"/>
  <c r="K46" i="10"/>
  <c r="K48" i="10" s="1"/>
  <c r="K12" i="10"/>
  <c r="K18" i="10" s="1"/>
  <c r="K21" i="10" s="1"/>
  <c r="K25" i="10" s="1"/>
  <c r="I46" i="10"/>
  <c r="I48" i="10" s="1"/>
  <c r="I12" i="10"/>
  <c r="I18" i="10" s="1"/>
  <c r="I21" i="10" s="1"/>
  <c r="I25" i="10" s="1"/>
  <c r="L46" i="10"/>
  <c r="L48" i="10" s="1"/>
  <c r="L12" i="10"/>
  <c r="L18" i="10" s="1"/>
  <c r="L21" i="10" s="1"/>
  <c r="L25" i="10" s="1"/>
  <c r="I39" i="10" l="1"/>
  <c r="I30" i="10"/>
  <c r="I32" i="10" s="1"/>
  <c r="I76" i="14"/>
  <c r="O50" i="10"/>
  <c r="P49" i="10"/>
  <c r="J62" i="14"/>
  <c r="J63" i="14" s="1"/>
  <c r="J61" i="14" s="1"/>
  <c r="J9" i="14"/>
  <c r="J86" i="14"/>
  <c r="M62" i="14"/>
  <c r="M63" i="14" s="1"/>
  <c r="M61" i="14" s="1"/>
  <c r="M9" i="14"/>
  <c r="M86" i="14"/>
  <c r="K49" i="10"/>
  <c r="J50" i="10"/>
  <c r="P50" i="10"/>
  <c r="Q49" i="10"/>
  <c r="O86" i="14"/>
  <c r="O9" i="14"/>
  <c r="O62" i="14"/>
  <c r="O63" i="14" s="1"/>
  <c r="O61" i="14" s="1"/>
  <c r="H27" i="10"/>
  <c r="I27" i="10" s="1"/>
  <c r="J27" i="10" s="1"/>
  <c r="K27" i="10" s="1"/>
  <c r="H76" i="14"/>
  <c r="H39" i="10"/>
  <c r="H30" i="10"/>
  <c r="H86" i="14"/>
  <c r="H62" i="14"/>
  <c r="H63" i="14" s="1"/>
  <c r="H61" i="14" s="1"/>
  <c r="H9" i="14"/>
  <c r="L76" i="14"/>
  <c r="L30" i="10"/>
  <c r="L32" i="10" s="1"/>
  <c r="L39" i="10"/>
  <c r="K76" i="14"/>
  <c r="K39" i="10"/>
  <c r="K30" i="10"/>
  <c r="K32" i="10" s="1"/>
  <c r="N62" i="14"/>
  <c r="N63" i="14" s="1"/>
  <c r="N61" i="14" s="1"/>
  <c r="N86" i="14"/>
  <c r="N9" i="14"/>
  <c r="P76" i="14"/>
  <c r="P39" i="10"/>
  <c r="P30" i="10"/>
  <c r="P32" i="10" s="1"/>
  <c r="H50" i="10"/>
  <c r="H49" i="10"/>
  <c r="I49" i="10"/>
  <c r="I86" i="14"/>
  <c r="I62" i="14"/>
  <c r="I63" i="14" s="1"/>
  <c r="I61" i="14" s="1"/>
  <c r="I9" i="14"/>
  <c r="Q62" i="14"/>
  <c r="Q63" i="14" s="1"/>
  <c r="Q61" i="14" s="1"/>
  <c r="N11" i="12" s="1"/>
  <c r="Q9" i="14"/>
  <c r="Q86" i="14"/>
  <c r="J76" i="14"/>
  <c r="J30" i="10"/>
  <c r="J32" i="10" s="1"/>
  <c r="J39" i="10"/>
  <c r="M50" i="10"/>
  <c r="N49" i="10"/>
  <c r="N50" i="10"/>
  <c r="O49" i="10"/>
  <c r="S80" i="1"/>
  <c r="S82" i="1" s="1"/>
  <c r="Q71" i="5" s="1"/>
  <c r="T79" i="1"/>
  <c r="I50" i="10"/>
  <c r="J49" i="10"/>
  <c r="L86" i="14"/>
  <c r="L62" i="14"/>
  <c r="L63" i="14" s="1"/>
  <c r="L61" i="14" s="1"/>
  <c r="L9" i="14"/>
  <c r="L50" i="10"/>
  <c r="M49" i="10"/>
  <c r="K50" i="10"/>
  <c r="L49" i="10"/>
  <c r="O76" i="14"/>
  <c r="O30" i="10"/>
  <c r="O32" i="10" s="1"/>
  <c r="O39" i="10"/>
  <c r="M39" i="10"/>
  <c r="M30" i="10"/>
  <c r="M32" i="10" s="1"/>
  <c r="M76" i="14"/>
  <c r="N39" i="10"/>
  <c r="N76" i="14"/>
  <c r="N30" i="10"/>
  <c r="N32" i="10" s="1"/>
  <c r="Q30" i="10"/>
  <c r="Q32" i="10" s="1"/>
  <c r="Q76" i="14"/>
  <c r="Q39" i="10"/>
  <c r="P62" i="14"/>
  <c r="P63" i="14" s="1"/>
  <c r="P61" i="14" s="1"/>
  <c r="P86" i="14"/>
  <c r="P9" i="14"/>
  <c r="K62" i="14"/>
  <c r="K63" i="14" s="1"/>
  <c r="K61" i="14" s="1"/>
  <c r="K86" i="14"/>
  <c r="K9" i="14"/>
  <c r="D76" i="14" l="1"/>
  <c r="E28" i="10"/>
  <c r="L27" i="10"/>
  <c r="M27" i="10" s="1"/>
  <c r="N27" i="10" s="1"/>
  <c r="O27" i="10" s="1"/>
  <c r="P27" i="10" s="1"/>
  <c r="Q27" i="10" s="1"/>
  <c r="Q70" i="5"/>
  <c r="Q72" i="5" s="1"/>
  <c r="Q11" i="14"/>
  <c r="J11" i="14"/>
  <c r="J70" i="5"/>
  <c r="J72" i="5" s="1"/>
  <c r="P11" i="14"/>
  <c r="P70" i="5"/>
  <c r="P72" i="5" s="1"/>
  <c r="L70" i="5"/>
  <c r="L72" i="5" s="1"/>
  <c r="L11" i="14"/>
  <c r="H32" i="10"/>
  <c r="E34" i="10"/>
  <c r="J34" i="10"/>
  <c r="E36" i="10"/>
  <c r="M70" i="5"/>
  <c r="M72" i="5" s="1"/>
  <c r="M11" i="14"/>
  <c r="K70" i="5"/>
  <c r="K72" i="5" s="1"/>
  <c r="K11" i="14"/>
  <c r="U79" i="1"/>
  <c r="T80" i="1"/>
  <c r="T82" i="1" s="1"/>
  <c r="I11" i="14"/>
  <c r="I70" i="5"/>
  <c r="I72" i="5" s="1"/>
  <c r="H11" i="14"/>
  <c r="H70" i="5"/>
  <c r="H72" i="5" s="1"/>
  <c r="E40" i="10"/>
  <c r="E41" i="10"/>
  <c r="O70" i="5"/>
  <c r="O72" i="5" s="1"/>
  <c r="O11" i="14"/>
  <c r="N11" i="14"/>
  <c r="N70" i="5"/>
  <c r="N72" i="5" s="1"/>
  <c r="O25" i="14" l="1"/>
  <c r="O21" i="14"/>
  <c r="M21" i="14"/>
  <c r="M25" i="14"/>
  <c r="P73" i="5"/>
  <c r="P87" i="5" s="1"/>
  <c r="P88" i="5" s="1"/>
  <c r="Q21" i="14"/>
  <c r="Q25" i="14"/>
  <c r="O73" i="5"/>
  <c r="O87" i="5" s="1"/>
  <c r="O88" i="5" s="1"/>
  <c r="H21" i="14"/>
  <c r="H25" i="14"/>
  <c r="U80" i="1"/>
  <c r="U82" i="1" s="1"/>
  <c r="V79" i="1"/>
  <c r="M73" i="5"/>
  <c r="M87" i="5" s="1"/>
  <c r="M88" i="5" s="1"/>
  <c r="E33" i="10"/>
  <c r="J33" i="10"/>
  <c r="P25" i="14"/>
  <c r="P21" i="14"/>
  <c r="Q73" i="5"/>
  <c r="Q87" i="5" s="1"/>
  <c r="Q88" i="5" s="1"/>
  <c r="N73" i="5"/>
  <c r="N87" i="5" s="1"/>
  <c r="N88" i="5" s="1"/>
  <c r="L21" i="14"/>
  <c r="L25" i="14"/>
  <c r="J73" i="5"/>
  <c r="J87" i="5" s="1"/>
  <c r="J88" i="5" s="1"/>
  <c r="H73" i="5"/>
  <c r="H87" i="5" s="1"/>
  <c r="H88" i="5" s="1"/>
  <c r="I73" i="5"/>
  <c r="I87" i="5" s="1"/>
  <c r="I88" i="5" s="1"/>
  <c r="K21" i="14"/>
  <c r="K25" i="14"/>
  <c r="N21" i="14"/>
  <c r="N25" i="14"/>
  <c r="I21" i="14"/>
  <c r="I25" i="14"/>
  <c r="K73" i="5"/>
  <c r="K87" i="5" s="1"/>
  <c r="K88" i="5" s="1"/>
  <c r="L73" i="5"/>
  <c r="L87" i="5" s="1"/>
  <c r="L88" i="5" s="1"/>
  <c r="J25" i="14"/>
  <c r="J21" i="14"/>
  <c r="I26" i="14" l="1"/>
  <c r="I30" i="14" s="1"/>
  <c r="K26" i="14"/>
  <c r="K30" i="14" s="1"/>
  <c r="P74" i="5"/>
  <c r="P78" i="5" s="1"/>
  <c r="O26" i="14"/>
  <c r="O30" i="14" s="1"/>
  <c r="W46" i="12" s="1"/>
  <c r="J26" i="14"/>
  <c r="J30" i="14" s="1"/>
  <c r="R46" i="12" s="1"/>
  <c r="J74" i="5"/>
  <c r="J78" i="5" s="1"/>
  <c r="N74" i="5"/>
  <c r="N78" i="5" s="1"/>
  <c r="L26" i="14"/>
  <c r="L30" i="14" s="1"/>
  <c r="T46" i="12" s="1"/>
  <c r="P26" i="14"/>
  <c r="P30" i="14" s="1"/>
  <c r="X46" i="12" s="1"/>
  <c r="M74" i="5"/>
  <c r="M78" i="5" s="1"/>
  <c r="K74" i="5"/>
  <c r="K78" i="5" s="1"/>
  <c r="I74" i="5"/>
  <c r="I78" i="5" s="1"/>
  <c r="H91" i="14"/>
  <c r="H87" i="14" s="1"/>
  <c r="H88" i="14" s="1"/>
  <c r="H39" i="14"/>
  <c r="Q39" i="14"/>
  <c r="Q91" i="14"/>
  <c r="Q87" i="14" s="1"/>
  <c r="Q88" i="14" s="1"/>
  <c r="M39" i="14"/>
  <c r="M91" i="14"/>
  <c r="M87" i="14" s="1"/>
  <c r="M88" i="14" s="1"/>
  <c r="J91" i="14"/>
  <c r="J87" i="14" s="1"/>
  <c r="J88" i="14" s="1"/>
  <c r="J39" i="14"/>
  <c r="N26" i="14"/>
  <c r="N30" i="14" s="1"/>
  <c r="P39" i="14"/>
  <c r="P91" i="14"/>
  <c r="P87" i="14" s="1"/>
  <c r="P88" i="14" s="1"/>
  <c r="H26" i="14"/>
  <c r="H30" i="14" s="1"/>
  <c r="Q26" i="14"/>
  <c r="Q30" i="14" s="1"/>
  <c r="M26" i="14"/>
  <c r="M30" i="14" s="1"/>
  <c r="L74" i="5"/>
  <c r="L78" i="5" s="1"/>
  <c r="I91" i="14"/>
  <c r="I87" i="14" s="1"/>
  <c r="I88" i="14" s="1"/>
  <c r="I39" i="14"/>
  <c r="K91" i="14"/>
  <c r="K87" i="14" s="1"/>
  <c r="K88" i="14" s="1"/>
  <c r="K39" i="14"/>
  <c r="H74" i="5"/>
  <c r="H78" i="5" s="1"/>
  <c r="L91" i="14"/>
  <c r="L87" i="14" s="1"/>
  <c r="L88" i="14" s="1"/>
  <c r="L39" i="14"/>
  <c r="Q74" i="5"/>
  <c r="Q78" i="5" s="1"/>
  <c r="V80" i="1"/>
  <c r="V82" i="1" s="1"/>
  <c r="W79" i="1"/>
  <c r="O74" i="5"/>
  <c r="O78" i="5" s="1"/>
  <c r="N39" i="14"/>
  <c r="N91" i="14"/>
  <c r="N87" i="14" s="1"/>
  <c r="N88" i="14" s="1"/>
  <c r="N89" i="14" s="1"/>
  <c r="N90" i="14" s="1"/>
  <c r="Q46" i="12"/>
  <c r="S46" i="12"/>
  <c r="G88" i="5"/>
  <c r="S17" i="12" s="1"/>
  <c r="Q33" i="10"/>
  <c r="Q34" i="10" s="1"/>
  <c r="H49" i="12"/>
  <c r="O39" i="14"/>
  <c r="O91" i="14"/>
  <c r="O87" i="14" s="1"/>
  <c r="O88" i="14" s="1"/>
  <c r="E33" i="14" l="1"/>
  <c r="K89" i="14"/>
  <c r="K90" i="14" s="1"/>
  <c r="J89" i="14"/>
  <c r="J90" i="14" s="1"/>
  <c r="Q89" i="14"/>
  <c r="Q90" i="14" s="1"/>
  <c r="P46" i="12"/>
  <c r="H31" i="14"/>
  <c r="E31" i="14"/>
  <c r="E32" i="14"/>
  <c r="J45" i="14"/>
  <c r="J95" i="14" s="1"/>
  <c r="J40" i="14"/>
  <c r="G78" i="5"/>
  <c r="K40" i="14"/>
  <c r="K45" i="14"/>
  <c r="K95" i="14" s="1"/>
  <c r="O89" i="14"/>
  <c r="O90" i="14" s="1"/>
  <c r="P89" i="14"/>
  <c r="P90" i="14" s="1"/>
  <c r="L45" i="14"/>
  <c r="L95" i="14" s="1"/>
  <c r="L40" i="14"/>
  <c r="L89" i="14"/>
  <c r="L90" i="14" s="1"/>
  <c r="U46" i="12"/>
  <c r="P45" i="14"/>
  <c r="P95" i="14" s="1"/>
  <c r="P40" i="14"/>
  <c r="M89" i="14"/>
  <c r="M90" i="14" s="1"/>
  <c r="H45" i="14"/>
  <c r="H95" i="14" s="1"/>
  <c r="H40" i="14"/>
  <c r="D39" i="14"/>
  <c r="N40" i="14"/>
  <c r="N45" i="14"/>
  <c r="N95" i="14" s="1"/>
  <c r="Q45" i="14"/>
  <c r="Q95" i="14" s="1"/>
  <c r="Q40" i="14"/>
  <c r="O40" i="14"/>
  <c r="O45" i="14"/>
  <c r="O95" i="14" s="1"/>
  <c r="W80" i="1"/>
  <c r="W82" i="1" s="1"/>
  <c r="X79" i="1"/>
  <c r="I45" i="14"/>
  <c r="I95" i="14" s="1"/>
  <c r="I40" i="14"/>
  <c r="Y46" i="12"/>
  <c r="V46" i="12"/>
  <c r="M40" i="14"/>
  <c r="M45" i="14"/>
  <c r="M95" i="14" s="1"/>
  <c r="I89" i="14"/>
  <c r="I90" i="14" s="1"/>
  <c r="H89" i="14"/>
  <c r="O46" i="14" l="1"/>
  <c r="O93" i="14"/>
  <c r="O96" i="14" s="1"/>
  <c r="N46" i="14"/>
  <c r="N93" i="14"/>
  <c r="N96" i="14" s="1"/>
  <c r="H46" i="12"/>
  <c r="N31" i="14"/>
  <c r="O31" i="14" s="1"/>
  <c r="X80" i="1"/>
  <c r="X82" i="1" s="1"/>
  <c r="Y79" i="1"/>
  <c r="Y80" i="1" s="1"/>
  <c r="Y82" i="1" s="1"/>
  <c r="Q46" i="14"/>
  <c r="Q93" i="14"/>
  <c r="Q96" i="14" s="1"/>
  <c r="P93" i="14"/>
  <c r="P96" i="14" s="1"/>
  <c r="P46" i="14"/>
  <c r="J46" i="14"/>
  <c r="J93" i="14"/>
  <c r="J96" i="14" s="1"/>
  <c r="M46" i="14"/>
  <c r="M93" i="14"/>
  <c r="M96" i="14" s="1"/>
  <c r="H93" i="14"/>
  <c r="H96" i="14" s="1"/>
  <c r="H46" i="14"/>
  <c r="L46" i="14"/>
  <c r="L93" i="14"/>
  <c r="L96" i="14" s="1"/>
  <c r="I93" i="14"/>
  <c r="I96" i="14" s="1"/>
  <c r="I46" i="14"/>
  <c r="K46" i="14"/>
  <c r="K93" i="14"/>
  <c r="K96" i="14" s="1"/>
  <c r="L97" i="14" s="1"/>
  <c r="L98" i="14" s="1"/>
  <c r="Q97" i="14" l="1"/>
  <c r="Q98" i="14" s="1"/>
  <c r="K97" i="14"/>
  <c r="K98" i="14" s="1"/>
  <c r="K50" i="14"/>
  <c r="K55" i="14"/>
  <c r="L50" i="14"/>
  <c r="L55" i="14"/>
  <c r="M50" i="14"/>
  <c r="M55" i="14"/>
  <c r="I55" i="14"/>
  <c r="I50" i="14"/>
  <c r="H55" i="14"/>
  <c r="H50" i="14"/>
  <c r="N50" i="14"/>
  <c r="N55" i="14"/>
  <c r="J97" i="14"/>
  <c r="J98" i="14" s="1"/>
  <c r="I97" i="14"/>
  <c r="I98" i="14" s="1"/>
  <c r="H97" i="14"/>
  <c r="H98" i="14" s="1"/>
  <c r="J55" i="14"/>
  <c r="J50" i="14"/>
  <c r="Q50" i="14"/>
  <c r="Q55" i="14"/>
  <c r="O97" i="14"/>
  <c r="O98" i="14" s="1"/>
  <c r="P97" i="14"/>
  <c r="P98" i="14" s="1"/>
  <c r="M97" i="14"/>
  <c r="M98" i="14" s="1"/>
  <c r="N97" i="14"/>
  <c r="N98" i="14" s="1"/>
  <c r="P55" i="14"/>
  <c r="P50" i="14"/>
  <c r="P75" i="14" s="1"/>
  <c r="P77" i="14" s="1"/>
  <c r="O50" i="14"/>
  <c r="O55" i="14"/>
  <c r="J80" i="14" l="1"/>
  <c r="J82" i="14" s="1"/>
  <c r="I75" i="14"/>
  <c r="I77" i="14" s="1"/>
  <c r="P80" i="14"/>
  <c r="P82" i="14" s="1"/>
  <c r="O75" i="14"/>
  <c r="O77" i="14" s="1"/>
  <c r="O80" i="14"/>
  <c r="O82" i="14" s="1"/>
  <c r="N75" i="14"/>
  <c r="N77" i="14" s="1"/>
  <c r="M80" i="14"/>
  <c r="M82" i="14" s="1"/>
  <c r="L75" i="14"/>
  <c r="L77" i="14" s="1"/>
  <c r="Q80" i="14"/>
  <c r="Q82" i="14" s="1"/>
  <c r="Q75" i="14"/>
  <c r="Q77" i="14" s="1"/>
  <c r="I80" i="14"/>
  <c r="I82" i="14" s="1"/>
  <c r="H51" i="14"/>
  <c r="H53" i="14" s="1"/>
  <c r="E51" i="14"/>
  <c r="H75" i="14"/>
  <c r="H77" i="14" s="1"/>
  <c r="K80" i="14"/>
  <c r="K82" i="14" s="1"/>
  <c r="J75" i="14"/>
  <c r="J77" i="14" s="1"/>
  <c r="N80" i="14"/>
  <c r="N82" i="14" s="1"/>
  <c r="M75" i="14"/>
  <c r="M77" i="14" s="1"/>
  <c r="L80" i="14"/>
  <c r="L82" i="14" s="1"/>
  <c r="K75" i="14"/>
  <c r="K77" i="14" s="1"/>
  <c r="E58" i="14" l="1"/>
  <c r="E57" i="14"/>
  <c r="N51" i="14"/>
  <c r="H47" i="12"/>
  <c r="E53" i="14"/>
  <c r="D75" i="14" s="1"/>
  <c r="G31" i="14"/>
  <c r="G51" i="14" s="1"/>
  <c r="H48" i="12" l="1"/>
  <c r="I46" i="12" s="1"/>
  <c r="O51" i="14"/>
  <c r="N53" i="14"/>
  <c r="I47" i="12" l="1"/>
  <c r="I48" i="12" s="1"/>
</calcChain>
</file>

<file path=xl/comments1.xml><?xml version="1.0" encoding="utf-8"?>
<comments xmlns="http://schemas.openxmlformats.org/spreadsheetml/2006/main">
  <authors>
    <author>Roger Davies</author>
  </authors>
  <commentList>
    <comment ref="M99" authorId="0">
      <text>
        <r>
          <rPr>
            <b/>
            <sz val="8"/>
            <color indexed="81"/>
            <rFont val="Tahoma"/>
            <family val="2"/>
          </rPr>
          <t>Roger Davies:</t>
        </r>
        <r>
          <rPr>
            <sz val="8"/>
            <color indexed="81"/>
            <rFont val="Tahoma"/>
            <family val="2"/>
          </rPr>
          <t xml:space="preserve">
Calculated as ratio of last year net income
</t>
        </r>
      </text>
    </comment>
    <comment ref="M101" authorId="0">
      <text>
        <r>
          <rPr>
            <b/>
            <sz val="8"/>
            <color indexed="81"/>
            <rFont val="Tahoma"/>
            <family val="2"/>
          </rPr>
          <t>Roger Davies:</t>
        </r>
        <r>
          <rPr>
            <sz val="8"/>
            <color indexed="81"/>
            <rFont val="Tahoma"/>
            <family val="2"/>
          </rPr>
          <t xml:space="preserve">
Net of tax</t>
        </r>
      </text>
    </comment>
  </commentList>
</comments>
</file>

<file path=xl/sharedStrings.xml><?xml version="1.0" encoding="utf-8"?>
<sst xmlns="http://schemas.openxmlformats.org/spreadsheetml/2006/main" count="1025" uniqueCount="674">
  <si>
    <t>Milestone payments</t>
  </si>
  <si>
    <t>Launch</t>
  </si>
  <si>
    <t>NPV</t>
  </si>
  <si>
    <t>Regulatory</t>
  </si>
  <si>
    <t>Total</t>
  </si>
  <si>
    <t>Sales</t>
  </si>
  <si>
    <t>Terminal</t>
  </si>
  <si>
    <t>Costs of goods sold</t>
  </si>
  <si>
    <t>Distribution</t>
  </si>
  <si>
    <t>Total operating expenses</t>
  </si>
  <si>
    <t>Cash flow</t>
  </si>
  <si>
    <t>Capital expenditure</t>
  </si>
  <si>
    <t>Working capital movement</t>
  </si>
  <si>
    <t>R &amp; D costs</t>
  </si>
  <si>
    <t>Clinical trials</t>
  </si>
  <si>
    <t>Inventory/stock</t>
  </si>
  <si>
    <t>Receivables/debtors</t>
  </si>
  <si>
    <t>Payables/creditors</t>
  </si>
  <si>
    <t>Ratio</t>
  </si>
  <si>
    <t>days sales outstanding</t>
  </si>
  <si>
    <t>days credt taken</t>
  </si>
  <si>
    <t>Movement in working capital</t>
  </si>
  <si>
    <t>Discount factor</t>
  </si>
  <si>
    <t>Discounted cash</t>
  </si>
  <si>
    <t>x sales</t>
  </si>
  <si>
    <t>Payback</t>
  </si>
  <si>
    <t>Internal rate of return</t>
  </si>
  <si>
    <t>Cumulative undiscounted cash flow</t>
  </si>
  <si>
    <t>Years from signature</t>
  </si>
  <si>
    <t>Gross profit</t>
  </si>
  <si>
    <t>Administration</t>
  </si>
  <si>
    <t>Signature fee</t>
  </si>
  <si>
    <t>IRR</t>
  </si>
  <si>
    <t>Royalties received from Licensee</t>
  </si>
  <si>
    <t>Licensor</t>
  </si>
  <si>
    <t>Licensee</t>
  </si>
  <si>
    <t>Milestone receipts</t>
  </si>
  <si>
    <t>SALES FORECAST</t>
  </si>
  <si>
    <t>COST OF GOODS</t>
  </si>
  <si>
    <t>ELEMENTS OF LICENSING DEAL</t>
  </si>
  <si>
    <t>CONTROL PANEL</t>
  </si>
  <si>
    <t>Check</t>
  </si>
  <si>
    <t xml:space="preserve">Cost of goods sold </t>
  </si>
  <si>
    <t>Cumulative</t>
  </si>
  <si>
    <t>Cost of goods</t>
  </si>
  <si>
    <t>R&amp;D</t>
  </si>
  <si>
    <t>Opening cash balance</t>
  </si>
  <si>
    <t>Capital spend</t>
  </si>
  <si>
    <t>(excl sunk costs)</t>
  </si>
  <si>
    <t>Model Structure</t>
  </si>
  <si>
    <t>Control panel</t>
  </si>
  <si>
    <t>Operating costs</t>
  </si>
  <si>
    <t>Licensor financial status</t>
  </si>
  <si>
    <t>For total project calculates</t>
  </si>
  <si>
    <t>For Licensee and Licensor calculates</t>
  </si>
  <si>
    <t>For Licensor only calculates</t>
  </si>
  <si>
    <t>Sales forecast</t>
  </si>
  <si>
    <t>Market share volume</t>
  </si>
  <si>
    <t>Calculates sales</t>
  </si>
  <si>
    <t>Cost of goods - who manufactures?</t>
  </si>
  <si>
    <t>Calculates cost of goods</t>
  </si>
  <si>
    <t>Licensor manufacture</t>
  </si>
  <si>
    <t>in each scenario</t>
  </si>
  <si>
    <t>Zero capital spend</t>
  </si>
  <si>
    <t>Profit mark-up on cost</t>
  </si>
  <si>
    <t>Licensee manufacture</t>
  </si>
  <si>
    <t>Calculates S &amp; P costs</t>
  </si>
  <si>
    <t>S&amp;P and other costs</t>
  </si>
  <si>
    <t>Salesforce cost allocation</t>
  </si>
  <si>
    <t>and other costs</t>
  </si>
  <si>
    <t>Direct promotion costs</t>
  </si>
  <si>
    <t>distribution, admin, etc</t>
  </si>
  <si>
    <t>R &amp; D costs - who pays?</t>
  </si>
  <si>
    <t>Calculates R &amp; D costs</t>
  </si>
  <si>
    <t>R&amp;D costs</t>
  </si>
  <si>
    <t>Licence fees and royalty</t>
  </si>
  <si>
    <t>Deal payments</t>
  </si>
  <si>
    <t>Lor year end cash balance</t>
  </si>
  <si>
    <t>Royalty</t>
  </si>
  <si>
    <r>
      <t xml:space="preserve">Calculates </t>
    </r>
    <r>
      <rPr>
        <b/>
        <sz val="10"/>
        <rFont val="Arial"/>
        <family val="2"/>
      </rPr>
      <t>Project</t>
    </r>
    <r>
      <rPr>
        <sz val="10"/>
        <rFont val="Arial"/>
        <family val="2"/>
      </rPr>
      <t xml:space="preserve"> NPV and IRR</t>
    </r>
  </si>
  <si>
    <r>
      <t xml:space="preserve">Calculates </t>
    </r>
    <r>
      <rPr>
        <b/>
        <sz val="10"/>
        <rFont val="Arial"/>
        <family val="2"/>
      </rPr>
      <t>Lee and Lor</t>
    </r>
    <r>
      <rPr>
        <sz val="10"/>
        <rFont val="Arial"/>
        <family val="2"/>
      </rPr>
      <t xml:space="preserve"> NPV and IRR</t>
    </r>
  </si>
  <si>
    <t>NPV summary for Lee and Lor</t>
  </si>
  <si>
    <t>Lee vs Lor</t>
  </si>
  <si>
    <t>Phase 1</t>
  </si>
  <si>
    <t>Phase 3</t>
  </si>
  <si>
    <t>Marketing</t>
  </si>
  <si>
    <t>Assumptions in red</t>
  </si>
  <si>
    <t>Headcount</t>
  </si>
  <si>
    <t>Target audience</t>
  </si>
  <si>
    <t>Working days per salesman</t>
  </si>
  <si>
    <t>Annual calls per salesman</t>
  </si>
  <si>
    <t>Number of salesmen</t>
  </si>
  <si>
    <t>Symposia</t>
  </si>
  <si>
    <t>Number per year</t>
  </si>
  <si>
    <t>Advertising</t>
  </si>
  <si>
    <t>S&amp;M % of sales</t>
  </si>
  <si>
    <t>Meetings per annum</t>
  </si>
  <si>
    <t xml:space="preserve">Cost of goods </t>
  </si>
  <si>
    <t>Cost of goods used in Project P&amp;L</t>
  </si>
  <si>
    <t>Operating income / (loss) EBITDA</t>
  </si>
  <si>
    <t>Ignored</t>
  </si>
  <si>
    <t xml:space="preserve">Cash Flow incl sunk costs </t>
  </si>
  <si>
    <t>% of sales</t>
  </si>
  <si>
    <t>Depreciation &amp; amortisation</t>
  </si>
  <si>
    <t>Year end working capital balance</t>
  </si>
  <si>
    <t xml:space="preserve">Cash flow </t>
  </si>
  <si>
    <t>Working capital calculation</t>
  </si>
  <si>
    <t>months of cost of goods</t>
  </si>
  <si>
    <t>Royalty payable to Licensor</t>
  </si>
  <si>
    <t>Sales and Marketing</t>
  </si>
  <si>
    <t>Operating profit pre deal terms</t>
  </si>
  <si>
    <t>Depreciation and amortisation</t>
  </si>
  <si>
    <t>LICENSEE VALUATION</t>
  </si>
  <si>
    <t>LICENSOR VALUATION</t>
  </si>
  <si>
    <t>Capital expenditure if inhouse manufacture</t>
  </si>
  <si>
    <t xml:space="preserve">Saving or (loss) from inhouse manufacture </t>
  </si>
  <si>
    <t>DSO</t>
  </si>
  <si>
    <t>DCO</t>
  </si>
  <si>
    <t>Licensee working capital calculation</t>
  </si>
  <si>
    <t>Licensor working capital calculation</t>
  </si>
  <si>
    <t>Licensor cash flow incl sunk costs undiscounted</t>
  </si>
  <si>
    <t>Operating profit / EBITDA</t>
  </si>
  <si>
    <t>TOTAL VALUATION</t>
  </si>
  <si>
    <t>Sunk costs prior to deal</t>
  </si>
  <si>
    <t>Cash flow incl sunk costs</t>
  </si>
  <si>
    <t>Cash flow excl sunk costs</t>
  </si>
  <si>
    <t>NPV of project excl sunk costs</t>
  </si>
  <si>
    <t>Key assumptions shown in red in yellow cells.  Changes to these cells with change the results of the model</t>
  </si>
  <si>
    <t>DEVELOPMENT AND REGULATORY</t>
  </si>
  <si>
    <t>SALES AND MARKETING</t>
  </si>
  <si>
    <t>PROJECT P&amp;L AND CASH FLOW</t>
  </si>
  <si>
    <t>Enter 1 for YES or 0 for NO</t>
  </si>
  <si>
    <t>Capital expenditure on manufacture</t>
  </si>
  <si>
    <t>Results are shown in blue</t>
  </si>
  <si>
    <t>SALES AND MARKETING COSTS</t>
  </si>
  <si>
    <t>Target calls per annum</t>
  </si>
  <si>
    <t>Assumptions</t>
  </si>
  <si>
    <t>R&amp;D Costs used in Project P&amp;L</t>
  </si>
  <si>
    <t>S&amp;M Costs used in Project P&amp;L</t>
  </si>
  <si>
    <t>Other Financial Deal Terms</t>
  </si>
  <si>
    <t>Duration of licence to Licensee</t>
  </si>
  <si>
    <t>Terminal value</t>
  </si>
  <si>
    <t>Licence continues in perpetuity e.g. while Licensee continues to sell product</t>
  </si>
  <si>
    <t>Assumptions in yellow box from control panel</t>
  </si>
  <si>
    <t>Total Income</t>
  </si>
  <si>
    <t xml:space="preserve">NPV incl terminal value </t>
  </si>
  <si>
    <t>IRR incl terminal value</t>
  </si>
  <si>
    <t>NPV incl terminal value excl sunk costs</t>
  </si>
  <si>
    <t xml:space="preserve">NPV incl terminal value INCL sunk costs </t>
  </si>
  <si>
    <t xml:space="preserve">IRR incl terminal value INCL sunk costs </t>
  </si>
  <si>
    <t>Cash flow incl terminal value</t>
  </si>
  <si>
    <t>Project check</t>
  </si>
  <si>
    <t>LICENSEE AND LICENSOR PROJECT VALUATIONS</t>
  </si>
  <si>
    <t>Will the Licensee manufacture inhouse?</t>
  </si>
  <si>
    <t>LICENSOR P&amp;L</t>
  </si>
  <si>
    <t>% of peak sales</t>
  </si>
  <si>
    <t>Licensee costs (to Lee vs Lor sheet)</t>
  </si>
  <si>
    <t>Licensor costs (to Lee vs Lor sheet)</t>
  </si>
  <si>
    <t>Lower cost of goods</t>
  </si>
  <si>
    <t>Formulation and scale up</t>
  </si>
  <si>
    <t>Project Financials</t>
  </si>
  <si>
    <t>Sales and marketing</t>
  </si>
  <si>
    <t>TOTAL PROJECT VALUATION excl sunk costs</t>
  </si>
  <si>
    <t>IP COSTS</t>
  </si>
  <si>
    <t xml:space="preserve">All the key assumptions and results are are on the control panel. </t>
  </si>
  <si>
    <t>Changing an assumption on the control panel will change the results on the individual worksheets.</t>
  </si>
  <si>
    <t>To change a key assumption, change it on the control panel not on the individual worksheets</t>
  </si>
  <si>
    <t>NPV TO LICENSEE &amp; LICENSOR</t>
  </si>
  <si>
    <t>Royalty payment by Licensee to Lor</t>
  </si>
  <si>
    <t>% total</t>
  </si>
  <si>
    <t>WC % of sales</t>
  </si>
  <si>
    <t>Working calculations and notes in grey</t>
  </si>
  <si>
    <t>Assumes annual cost increases affecting direct and indirect costs are offset by savings from improvement in productivity</t>
  </si>
  <si>
    <t>If Licensor supply</t>
  </si>
  <si>
    <t>If Licensee inhouse manufacture</t>
  </si>
  <si>
    <t>PR</t>
  </si>
  <si>
    <t>Total S&amp;M costs included in project P&amp;L</t>
  </si>
  <si>
    <t>R&amp;D Costs Paid by Licensee/Lor</t>
  </si>
  <si>
    <t>Distribution (% sales)</t>
  </si>
  <si>
    <t>Excel formula calc</t>
  </si>
  <si>
    <t>License fee and other revenues</t>
  </si>
  <si>
    <t>Total Revenues</t>
  </si>
  <si>
    <t>Costs and expenses</t>
  </si>
  <si>
    <t>Interest and other income</t>
  </si>
  <si>
    <t>Tax</t>
  </si>
  <si>
    <t>Net loss after tax</t>
  </si>
  <si>
    <t>Total Costs</t>
  </si>
  <si>
    <t>Forecast</t>
  </si>
  <si>
    <t>LICENSOR CASH FLOW</t>
  </si>
  <si>
    <t>Funds raised</t>
  </si>
  <si>
    <t>Closing cash balance</t>
  </si>
  <si>
    <t>Cash utilised</t>
  </si>
  <si>
    <t>SHARES</t>
  </si>
  <si>
    <t>NPV of savings to Licensee</t>
  </si>
  <si>
    <t>% growth</t>
  </si>
  <si>
    <t xml:space="preserve">Headline value excluding R&amp;D and royalties </t>
  </si>
  <si>
    <t xml:space="preserve">Signature fee </t>
  </si>
  <si>
    <t xml:space="preserve"> Licensee gets terminal value (enter 1)</t>
  </si>
  <si>
    <t xml:space="preserve"> Licensor gets terminal value (enter 0)</t>
  </si>
  <si>
    <t xml:space="preserve">Receivables/debtors </t>
  </si>
  <si>
    <t>1 = YES</t>
  </si>
  <si>
    <t>Terminal value % of total</t>
  </si>
  <si>
    <t>Price premium</t>
  </si>
  <si>
    <t>Project</t>
  </si>
  <si>
    <t>Licensor COG + royalty % sales</t>
  </si>
  <si>
    <t>Entrants</t>
  </si>
  <si>
    <t>MS%</t>
  </si>
  <si>
    <t>Zipf's Law</t>
  </si>
  <si>
    <t>Variable costs</t>
  </si>
  <si>
    <t>Direct labour</t>
  </si>
  <si>
    <t>Total variable costs</t>
  </si>
  <si>
    <t>Fixed costs</t>
  </si>
  <si>
    <t>Total costs</t>
  </si>
  <si>
    <t>Depreciation</t>
  </si>
  <si>
    <t>API</t>
  </si>
  <si>
    <t>Packing materials and excipients</t>
  </si>
  <si>
    <t>Licensor mark-up</t>
  </si>
  <si>
    <t>Shipping and insurance</t>
  </si>
  <si>
    <t>Total variable and fixed costs</t>
  </si>
  <si>
    <t>Total supply price to licensee</t>
  </si>
  <si>
    <t>Net selling price</t>
  </si>
  <si>
    <t>Yield</t>
  </si>
  <si>
    <t>Total cost of goods</t>
  </si>
  <si>
    <t>Total costs excluding depreciation</t>
  </si>
  <si>
    <t>Capacity m</t>
  </si>
  <si>
    <t>Batch size kg</t>
  </si>
  <si>
    <t>Cost/benefit Licensee inhouse manufacture</t>
  </si>
  <si>
    <t>Target calls per doctor per annum</t>
  </si>
  <si>
    <t>Calls per day per salesman</t>
  </si>
  <si>
    <t>Salesforce Meetings</t>
  </si>
  <si>
    <t>Physicians per meeting</t>
  </si>
  <si>
    <t>$</t>
  </si>
  <si>
    <t>Licensee COG + plus royalty in</t>
  </si>
  <si>
    <t>Total sales milestones</t>
  </si>
  <si>
    <t>Pricing</t>
  </si>
  <si>
    <t>CTS</t>
  </si>
  <si>
    <t>Patients</t>
  </si>
  <si>
    <t>Cost $m</t>
  </si>
  <si>
    <t>Volume of kgs</t>
  </si>
  <si>
    <t>Capex $m</t>
  </si>
  <si>
    <t>Batches per year</t>
  </si>
  <si>
    <t>Batch size to be used</t>
  </si>
  <si>
    <t>Cumulative sales volume</t>
  </si>
  <si>
    <t>$m</t>
  </si>
  <si>
    <t>If investment of $15m</t>
  </si>
  <si>
    <t>If investment of $30m</t>
  </si>
  <si>
    <t>Enter 15 for $15m or 30 for $30m</t>
  </si>
  <si>
    <t>If answer is yes will the capital expenditure be $15m or $30m?</t>
  </si>
  <si>
    <t>Cost of goods $m</t>
  </si>
  <si>
    <t>Capital expenditure $m</t>
  </si>
  <si>
    <t>Licensor supply profit $m</t>
  </si>
  <si>
    <t>Licensor supply profit NPV $m</t>
  </si>
  <si>
    <t>Total development &amp; reg costs $m</t>
  </si>
  <si>
    <t>Royalties payable (University)</t>
  </si>
  <si>
    <t>Cost per salesman $000</t>
  </si>
  <si>
    <t>Cost per call $</t>
  </si>
  <si>
    <t>Cost per head $000</t>
  </si>
  <si>
    <t>Total employment costs $m</t>
  </si>
  <si>
    <t>Cost per meeting $000</t>
  </si>
  <si>
    <t xml:space="preserve">Cost $m </t>
  </si>
  <si>
    <t>Total costs $m</t>
  </si>
  <si>
    <t xml:space="preserve">Terminal value </t>
  </si>
  <si>
    <t>Sum discounted cash</t>
  </si>
  <si>
    <t>Royalties payable by Licensor to University</t>
  </si>
  <si>
    <t>Licensor Financial History &amp; Forecast  $m</t>
  </si>
  <si>
    <t>Company valuation $m</t>
  </si>
  <si>
    <t>Annual sales &gt; $m</t>
  </si>
  <si>
    <t>R&amp;D income / payments</t>
  </si>
  <si>
    <t>COG % net selling price</t>
  </si>
  <si>
    <t>NPV of project including sunk costs</t>
  </si>
  <si>
    <t>Post tax profit</t>
  </si>
  <si>
    <t>% of income</t>
  </si>
  <si>
    <t>Operating Profit / Loss</t>
  </si>
  <si>
    <t xml:space="preserve">  Disc rate</t>
  </si>
  <si>
    <t>Licensee project cash flow</t>
  </si>
  <si>
    <t>Licensor company cash yr end</t>
  </si>
  <si>
    <t>Licence terminates: expiry data exclusivity / 10 years from launch whichever later</t>
  </si>
  <si>
    <t>Sales $m</t>
  </si>
  <si>
    <t>NPV $m</t>
  </si>
  <si>
    <t>Sales forecast $m</t>
  </si>
  <si>
    <t>x</t>
  </si>
  <si>
    <t>General &amp; Administration</t>
  </si>
  <si>
    <t>Europe</t>
  </si>
  <si>
    <t>Source</t>
  </si>
  <si>
    <t>Bayer</t>
  </si>
  <si>
    <t>Growth</t>
  </si>
  <si>
    <t>Date</t>
  </si>
  <si>
    <t>Product</t>
  </si>
  <si>
    <t>Territory</t>
  </si>
  <si>
    <t>Upfront $m</t>
  </si>
  <si>
    <t>Headline $m</t>
  </si>
  <si>
    <t>Indication</t>
  </si>
  <si>
    <t>Devt Phase at deal</t>
  </si>
  <si>
    <t>Equity $m</t>
  </si>
  <si>
    <t>Tiered double digit</t>
  </si>
  <si>
    <t>US</t>
  </si>
  <si>
    <t>EU</t>
  </si>
  <si>
    <t xml:space="preserve">Cost / pack $ </t>
  </si>
  <si>
    <t>Volume of packs 000</t>
  </si>
  <si>
    <t>Price per pack average $</t>
  </si>
  <si>
    <t>Caps API mg</t>
  </si>
  <si>
    <t>Mg per cap</t>
  </si>
  <si>
    <t>Caps per batch</t>
  </si>
  <si>
    <t>Pack size caps</t>
  </si>
  <si>
    <t>Volume of caps million</t>
  </si>
  <si>
    <t>Caps per patient per year</t>
  </si>
  <si>
    <t>mg per cap</t>
  </si>
  <si>
    <t>Caps per pack</t>
  </si>
  <si>
    <t>API cost per kg $</t>
  </si>
  <si>
    <t xml:space="preserve">API Cost / batch $ </t>
  </si>
  <si>
    <t>Packs per batch</t>
  </si>
  <si>
    <t>Shipping and insurance and CMO profit</t>
  </si>
  <si>
    <t>CMO profit</t>
  </si>
  <si>
    <t>Pilot scale cost of goods per capsule for clinical trial supplies</t>
  </si>
  <si>
    <t>pilot scalefactor</t>
  </si>
  <si>
    <t>Total cost</t>
  </si>
  <si>
    <t>Cost per pack</t>
  </si>
  <si>
    <t>Supply price per pack</t>
  </si>
  <si>
    <t xml:space="preserve">COG % </t>
  </si>
  <si>
    <t>Manufacturing scale-up</t>
  </si>
  <si>
    <t>Flucitra 120mg capsule pilot scale cost</t>
  </si>
  <si>
    <t>UK</t>
  </si>
  <si>
    <t>Germany</t>
  </si>
  <si>
    <t>France</t>
  </si>
  <si>
    <t>Italy</t>
  </si>
  <si>
    <t>Spain</t>
  </si>
  <si>
    <t>Canada</t>
  </si>
  <si>
    <t>Popn m</t>
  </si>
  <si>
    <t>Sales and marketing costs</t>
  </si>
  <si>
    <t>% sales</t>
  </si>
  <si>
    <t>Apportioned salesforce cost $m</t>
  </si>
  <si>
    <t>Marketing cost $m</t>
  </si>
  <si>
    <t>Payers</t>
  </si>
  <si>
    <t>Number of major account managers</t>
  </si>
  <si>
    <t>Cost per manager $000</t>
  </si>
  <si>
    <t>Payer management</t>
  </si>
  <si>
    <t>Total marketing costs</t>
  </si>
  <si>
    <t>Sales and marketing costs $m</t>
  </si>
  <si>
    <t>Sanofi</t>
  </si>
  <si>
    <t>value</t>
  </si>
  <si>
    <t>to 2026</t>
  </si>
  <si>
    <t>Market share calculation</t>
  </si>
  <si>
    <t>Adjusted market share</t>
  </si>
  <si>
    <t>G&amp;A incl in R&amp;D</t>
  </si>
  <si>
    <t>Royalties and milestone payable (University)</t>
  </si>
  <si>
    <t xml:space="preserve">Hospital and KOL Salesmen </t>
  </si>
  <si>
    <t>`</t>
  </si>
  <si>
    <t>y</t>
  </si>
  <si>
    <t>z</t>
  </si>
  <si>
    <t>Sales &lt; x</t>
  </si>
  <si>
    <t>Sales &gt; z</t>
  </si>
  <si>
    <t>Total hospital  and KOL salesforce costs $m</t>
  </si>
  <si>
    <t>ROYALTY CALCULATION</t>
  </si>
  <si>
    <t>Sales &gt; x &lt; y</t>
  </si>
  <si>
    <t>Sales &lt; y &gt; z</t>
  </si>
  <si>
    <t>Sales &gt; y &gt; z</t>
  </si>
  <si>
    <t>Total royalties</t>
  </si>
  <si>
    <t>Total Lee milestone payments</t>
  </si>
  <si>
    <t>Total Lee royalty payments</t>
  </si>
  <si>
    <t>Royalty payments assumed to stop at patent expiry</t>
  </si>
  <si>
    <t>Average</t>
  </si>
  <si>
    <t>Dose</t>
  </si>
  <si>
    <t>Japan</t>
  </si>
  <si>
    <t>Australia</t>
  </si>
  <si>
    <t>S&amp;M</t>
  </si>
  <si>
    <t>Days</t>
  </si>
  <si>
    <t>Market size estimate (patients)</t>
  </si>
  <si>
    <t>Total prostate cancer 2012</t>
  </si>
  <si>
    <t>Defined market mCRPC</t>
  </si>
  <si>
    <t>Incidence</t>
  </si>
  <si>
    <t>Deaths</t>
  </si>
  <si>
    <t>Assume</t>
  </si>
  <si>
    <t>Epidemiology</t>
  </si>
  <si>
    <t xml:space="preserve">Prostate cancer to mCRPC </t>
  </si>
  <si>
    <t>% deaths</t>
  </si>
  <si>
    <t>Global</t>
  </si>
  <si>
    <t>http://globocan.iarc.fr/old/FactSheets/cancers/prostate-new.asp</t>
  </si>
  <si>
    <t>% incidence</t>
  </si>
  <si>
    <t>Total US and EU</t>
  </si>
  <si>
    <t>Non-US (EU + Australia, Canada)</t>
  </si>
  <si>
    <t>AU + CA =</t>
  </si>
  <si>
    <t>Non-US</t>
  </si>
  <si>
    <t>Total US and Non-US</t>
  </si>
  <si>
    <t>Market share</t>
  </si>
  <si>
    <t>Androgen synthesis inhibitors</t>
  </si>
  <si>
    <t>Packaging</t>
  </si>
  <si>
    <t>Pack size</t>
  </si>
  <si>
    <t>Dose / day (mg)</t>
  </si>
  <si>
    <t>Pr x pop</t>
  </si>
  <si>
    <t>Assumes 12 mth treatment</t>
  </si>
  <si>
    <t>Capsule size (mg)</t>
  </si>
  <si>
    <t>Treatment days</t>
  </si>
  <si>
    <t>Belgium</t>
  </si>
  <si>
    <t>Holland</t>
  </si>
  <si>
    <t>Norway</t>
  </si>
  <si>
    <t>Sweden</t>
  </si>
  <si>
    <t>Switzer</t>
  </si>
  <si>
    <t>Non Medic</t>
  </si>
  <si>
    <t>Medicaid</t>
  </si>
  <si>
    <t>Av pr</t>
  </si>
  <si>
    <t>Wt av pr</t>
  </si>
  <si>
    <t>Assumes 0% price growth</t>
  </si>
  <si>
    <t>ANZ,CA</t>
  </si>
  <si>
    <t>% popn</t>
  </si>
  <si>
    <t xml:space="preserve">Sales forecast $m </t>
  </si>
  <si>
    <t>Prolutamide</t>
  </si>
  <si>
    <t>Price/cap $</t>
  </si>
  <si>
    <t>Pfizer</t>
  </si>
  <si>
    <t>Dimebon</t>
  </si>
  <si>
    <t>Alzheimers</t>
  </si>
  <si>
    <t>Devt and reg Milestones $m</t>
  </si>
  <si>
    <t>Sales Milestones $m</t>
  </si>
  <si>
    <t>ND</t>
  </si>
  <si>
    <t>725+</t>
  </si>
  <si>
    <t>Early phase 3</t>
  </si>
  <si>
    <t>Tiered royalties outside US</t>
  </si>
  <si>
    <t>CoMentis</t>
  </si>
  <si>
    <t>beta secretase inhib</t>
  </si>
  <si>
    <t>760+</t>
  </si>
  <si>
    <t xml:space="preserve">Profit share US </t>
  </si>
  <si>
    <t>Royalties outside US</t>
  </si>
  <si>
    <t>End Phase 1</t>
  </si>
  <si>
    <t>Oxford BioMedica</t>
  </si>
  <si>
    <t>cancer vaccine</t>
  </si>
  <si>
    <t>Euros</t>
  </si>
  <si>
    <t>Global option co-promote US Europe</t>
  </si>
  <si>
    <t>Global option co-promote US</t>
  </si>
  <si>
    <t>Renal cancer</t>
  </si>
  <si>
    <t>Licensor deal</t>
  </si>
  <si>
    <t>Licensee deal</t>
  </si>
  <si>
    <t>Oncology deals</t>
  </si>
  <si>
    <t>PDL Biopharma</t>
  </si>
  <si>
    <t>BMS</t>
  </si>
  <si>
    <t>multiple myeloma</t>
  </si>
  <si>
    <t>elotuzumab</t>
  </si>
  <si>
    <t>Astex</t>
  </si>
  <si>
    <t>Janssen</t>
  </si>
  <si>
    <t>FGFR inhibitors</t>
  </si>
  <si>
    <t>cancer</t>
  </si>
  <si>
    <t>500+</t>
  </si>
  <si>
    <t>537+</t>
  </si>
  <si>
    <t>Pre clinical</t>
  </si>
  <si>
    <t>Algeta</t>
  </si>
  <si>
    <t>Tiered double digit outside US</t>
  </si>
  <si>
    <t>alpharadin (radium 223)</t>
  </si>
  <si>
    <t>Profit share US 40% Minerva</t>
  </si>
  <si>
    <t>Minerva</t>
  </si>
  <si>
    <t>Atlas</t>
  </si>
  <si>
    <t>HRPC bone metastases</t>
  </si>
  <si>
    <t>Comparator</t>
  </si>
  <si>
    <t>End point</t>
  </si>
  <si>
    <t>Start</t>
  </si>
  <si>
    <t>Enrolled</t>
  </si>
  <si>
    <t>FSR</t>
  </si>
  <si>
    <t>$k/patient</t>
  </si>
  <si>
    <t>CRO</t>
  </si>
  <si>
    <t>Mg</t>
  </si>
  <si>
    <t>kgs</t>
  </si>
  <si>
    <t>Price/kg</t>
  </si>
  <si>
    <t>Months</t>
  </si>
  <si>
    <t>1st patnt</t>
  </si>
  <si>
    <t>Prostate cancer</t>
  </si>
  <si>
    <t>7 dose groups</t>
  </si>
  <si>
    <t xml:space="preserve">Combined Phase 1 / 2a clinical study </t>
  </si>
  <si>
    <t>30, 90, 160, 250, 350, 450, 600</t>
  </si>
  <si>
    <t>30-600mg/day</t>
  </si>
  <si>
    <t xml:space="preserve">Extension </t>
  </si>
  <si>
    <t>AFFIRM: Phase 3 DB extended to open label</t>
  </si>
  <si>
    <t>mCRPC in docetaxel pre treated patients</t>
  </si>
  <si>
    <t>placebo</t>
  </si>
  <si>
    <t>Overall S</t>
  </si>
  <si>
    <t>160mg once daily</t>
  </si>
  <si>
    <t>PREVAIL: Phase 3 DB extended to open label</t>
  </si>
  <si>
    <t>mCRPC in pre chemo patients</t>
  </si>
  <si>
    <t>PFS</t>
  </si>
  <si>
    <t>TERRAIN: Phase 2 DB extended to open label</t>
  </si>
  <si>
    <t>bicalutamide</t>
  </si>
  <si>
    <t xml:space="preserve">STRIVE: Phase 2 DB, </t>
  </si>
  <si>
    <t>CRPC in pre chemo patients</t>
  </si>
  <si>
    <t>PLATO: Phase 4</t>
  </si>
  <si>
    <t>abiraterone</t>
  </si>
  <si>
    <t>PROSPER: Phase 3 DB</t>
  </si>
  <si>
    <t>non-m CRPC</t>
  </si>
  <si>
    <t>MFS</t>
  </si>
  <si>
    <t>EMBARK: Phase 3</t>
  </si>
  <si>
    <t>M1 HSPC</t>
  </si>
  <si>
    <t>Breast cancer</t>
  </si>
  <si>
    <t>AR+ TNBC Phase 2 open label</t>
  </si>
  <si>
    <t>Advanced TNBC</t>
  </si>
  <si>
    <t>CBR16</t>
  </si>
  <si>
    <t>Advanced breast cancer</t>
  </si>
  <si>
    <t>plbo + exemastane</t>
  </si>
  <si>
    <t>CBR24</t>
  </si>
  <si>
    <t>AR+ HER2 Amplfied Phase 2, Xtandi added to trastuzumab</t>
  </si>
  <si>
    <t>Liver cancer</t>
  </si>
  <si>
    <t xml:space="preserve">Phase 2  </t>
  </si>
  <si>
    <t>Advanced liver cancer</t>
  </si>
  <si>
    <t>Synthesise, test and identify lead compound from 170 compounds</t>
  </si>
  <si>
    <t>Complete IND enabling preclinical studies and file IND</t>
  </si>
  <si>
    <t>Prostate cancer clinical studies</t>
  </si>
  <si>
    <t>Total clinical costs</t>
  </si>
  <si>
    <t>Total non-clinical</t>
  </si>
  <si>
    <t>Total R&amp;D</t>
  </si>
  <si>
    <t>Prolutamide clinical</t>
  </si>
  <si>
    <t>AR+ or PgR+ and HER normal Phase 2 DB, combo exemestane</t>
  </si>
  <si>
    <t>Are additional patients needed for the biclautamide studies?</t>
  </si>
  <si>
    <t>MS adjustment for price</t>
  </si>
  <si>
    <t>Manufacture lead compound for IND enabling preclinical and early clinical studies and scale up</t>
  </si>
  <si>
    <t>2009-21</t>
  </si>
  <si>
    <t>Phase 3 studies</t>
  </si>
  <si>
    <t>Phase 4 studies</t>
  </si>
  <si>
    <t>Non prostate cancer studies</t>
  </si>
  <si>
    <t>Total prostate cancer phase 3</t>
  </si>
  <si>
    <t>Total prostate cancer Phase 4</t>
  </si>
  <si>
    <t>Total non prostate cancer studies</t>
  </si>
  <si>
    <t>Cost to Licensee $m</t>
  </si>
  <si>
    <t>Cost to Licensor $m</t>
  </si>
  <si>
    <t>Licensee share of R&amp;D costs</t>
  </si>
  <si>
    <t>Non US</t>
  </si>
  <si>
    <t>Target audience urologist / oncologist</t>
  </si>
  <si>
    <t>R&amp;D indirect</t>
  </si>
  <si>
    <t>R&amp;D  direct excl prolutamide</t>
  </si>
  <si>
    <t>R&amp;D  direct prolutamide</t>
  </si>
  <si>
    <t>Non cash items</t>
  </si>
  <si>
    <t>Cash from operating activity</t>
  </si>
  <si>
    <t>Net increase / decrease in cash</t>
  </si>
  <si>
    <t>Net profit / (loss) before tax</t>
  </si>
  <si>
    <r>
      <t xml:space="preserve">Licensee Manufactures and Packs Inhouse </t>
    </r>
    <r>
      <rPr>
        <b/>
        <sz val="10"/>
        <rFont val="Arial"/>
        <family val="2"/>
      </rPr>
      <t>(at 2009 Costs)</t>
    </r>
  </si>
  <si>
    <t>Batch size packs</t>
  </si>
  <si>
    <t>Average net selling price per patient treatment $000</t>
  </si>
  <si>
    <t>Bottle / blister</t>
  </si>
  <si>
    <t>Caps/patient per year</t>
  </si>
  <si>
    <t>Packs/patient per year</t>
  </si>
  <si>
    <t>Average net selling price per pack 100 caps $000</t>
  </si>
  <si>
    <t>Average net selling price per pack 2016</t>
  </si>
  <si>
    <r>
      <t xml:space="preserve">Licensee Buys Finished Packs from Licensor  </t>
    </r>
    <r>
      <rPr>
        <b/>
        <sz val="10"/>
        <rFont val="Arial"/>
        <family val="2"/>
      </rPr>
      <t>(at 2009 Costs)</t>
    </r>
  </si>
  <si>
    <t>Switch batch size at batches pa</t>
  </si>
  <si>
    <t>Number of batches</t>
  </si>
  <si>
    <t>Batches</t>
  </si>
  <si>
    <t>AR+ HER2 Amplfied Phase 2, prolutamide added to trastuzumab</t>
  </si>
  <si>
    <t>Other Prolutamide prostate cancer studies</t>
  </si>
  <si>
    <t>Years from first launch</t>
  </si>
  <si>
    <t>2012 Wholesale price / cap  $</t>
  </si>
  <si>
    <t>Treatment</t>
  </si>
  <si>
    <t>Packs sold 000</t>
  </si>
  <si>
    <t>COG savings NPV to control page</t>
  </si>
  <si>
    <t>Total sales $m</t>
  </si>
  <si>
    <t>COG</t>
  </si>
  <si>
    <t>Total payer accounts</t>
  </si>
  <si>
    <t>Accounts per executive</t>
  </si>
  <si>
    <t>Full time on target product</t>
  </si>
  <si>
    <t>First line detail 2 products</t>
  </si>
  <si>
    <t>Second line detail 2 products</t>
  </si>
  <si>
    <t>Apportionment</t>
  </si>
  <si>
    <t>Apportioned cost</t>
  </si>
  <si>
    <t>Full time</t>
  </si>
  <si>
    <t>1st detail</t>
  </si>
  <si>
    <t>% time dealing with prolutamide</t>
  </si>
  <si>
    <t xml:space="preserve">% time Licensee salesforce promote prolutamide </t>
  </si>
  <si>
    <t xml:space="preserve">Market share </t>
  </si>
  <si>
    <t>Competing products</t>
  </si>
  <si>
    <t>TTP advantage</t>
  </si>
  <si>
    <r>
      <t xml:space="preserve">Number of competing products (incl. prolutamide) </t>
    </r>
    <r>
      <rPr>
        <sz val="10"/>
        <rFont val="Arial"/>
        <family val="2"/>
      </rPr>
      <t>Enter 2 or 3</t>
    </r>
  </si>
  <si>
    <t>Target price</t>
  </si>
  <si>
    <t>= target</t>
  </si>
  <si>
    <t>&gt; target</t>
  </si>
  <si>
    <t>&lt; target</t>
  </si>
  <si>
    <t>TTP MS</t>
  </si>
  <si>
    <t>MS adjustment for share of voice first 5 years from launch</t>
  </si>
  <si>
    <t>MS adjustment for TTP</t>
  </si>
  <si>
    <t>Share of Voice</t>
  </si>
  <si>
    <t>% points</t>
  </si>
  <si>
    <r>
      <t xml:space="preserve">Prolutamide TTP advantage versus Janssen product? </t>
    </r>
    <r>
      <rPr>
        <sz val="10"/>
        <rFont val="Arial"/>
        <family val="2"/>
      </rPr>
      <t>YES = 1, NO= 0</t>
    </r>
  </si>
  <si>
    <r>
      <t xml:space="preserve">Price at parity / below / above: target price </t>
    </r>
    <r>
      <rPr>
        <sz val="10"/>
        <rFont val="Arial"/>
        <family val="2"/>
      </rPr>
      <t>Enter: 0%,-30%,30%</t>
    </r>
  </si>
  <si>
    <t>Marketing Executives</t>
  </si>
  <si>
    <t>Actual forecast</t>
  </si>
  <si>
    <t>Model above</t>
  </si>
  <si>
    <t>Sales and marketing costs phasing</t>
  </si>
  <si>
    <t>to 2021 incl terminal value</t>
  </si>
  <si>
    <t>to 2020 excl TV</t>
  </si>
  <si>
    <r>
      <t xml:space="preserve">Will the Licensee manufacture inhouse? </t>
    </r>
    <r>
      <rPr>
        <sz val="10"/>
        <rFont val="Arial"/>
        <family val="2"/>
      </rPr>
      <t>Enter 1 for YES or 0 for NO</t>
    </r>
  </si>
  <si>
    <r>
      <t xml:space="preserve">If YES, capital expenditure by Licensee? </t>
    </r>
    <r>
      <rPr>
        <sz val="10"/>
        <rFont val="Arial"/>
        <family val="2"/>
      </rPr>
      <t>Enter 15 for $15m or 30 for $30m</t>
    </r>
  </si>
  <si>
    <t>If NO, profit mark-up % applied by Licensor on cost of supply from CMO</t>
  </si>
  <si>
    <r>
      <t xml:space="preserve">Additional patients for bicalutamide studies? </t>
    </r>
    <r>
      <rPr>
        <sz val="10"/>
        <rFont val="Arial"/>
        <family val="2"/>
      </rPr>
      <t>Enter 1 for YES or 0 for NO</t>
    </r>
  </si>
  <si>
    <t>Cost of goods per pack</t>
  </si>
  <si>
    <t>US profit share</t>
  </si>
  <si>
    <t>Payment for Licensor salesforce</t>
  </si>
  <si>
    <t>US profit contribution</t>
  </si>
  <si>
    <t>Non US profit contribution</t>
  </si>
  <si>
    <t>G&amp;A</t>
  </si>
  <si>
    <t>HSPC</t>
  </si>
  <si>
    <t>% Lee pays</t>
  </si>
  <si>
    <t>Adoption curve</t>
  </si>
  <si>
    <t>Total sales</t>
  </si>
  <si>
    <t>Average royalty rate</t>
  </si>
  <si>
    <t xml:space="preserve">US  </t>
  </si>
  <si>
    <t xml:space="preserve">NON-US  </t>
  </si>
  <si>
    <t>Total US actual</t>
  </si>
  <si>
    <t>Sales and marketing costs $m including partner</t>
  </si>
  <si>
    <t>Total US model</t>
  </si>
  <si>
    <t xml:space="preserve">Co-commercialisation in US </t>
  </si>
  <si>
    <t xml:space="preserve">Cost of Goods data </t>
  </si>
  <si>
    <t>Per cap</t>
  </si>
  <si>
    <t>Per pack 100</t>
  </si>
  <si>
    <t>Prem/disc</t>
  </si>
  <si>
    <t>Fcast price</t>
  </si>
  <si>
    <t>Target 2012 Wholesale price $</t>
  </si>
  <si>
    <t>Pack 100</t>
  </si>
  <si>
    <t>Number of patients prolutamide</t>
  </si>
  <si>
    <t>Patients treated with androgen synthesis inhibitors</t>
  </si>
  <si>
    <t>Volume packs 000</t>
  </si>
  <si>
    <t>Packs per patient</t>
  </si>
  <si>
    <t>Price per pack $</t>
  </si>
  <si>
    <t>Cost of goods per pack $</t>
  </si>
  <si>
    <r>
      <t xml:space="preserve">US co-commercialisation profit share to Licensor </t>
    </r>
    <r>
      <rPr>
        <sz val="10"/>
        <rFont val="Arial"/>
        <family val="2"/>
      </rPr>
      <t xml:space="preserve">Enter % </t>
    </r>
  </si>
  <si>
    <t>Fee per call</t>
  </si>
  <si>
    <t>No of reps</t>
  </si>
  <si>
    <t>Calls/rep/pa</t>
  </si>
  <si>
    <t>Volume of calls 000</t>
  </si>
  <si>
    <t>Cost/rep $k</t>
  </si>
  <si>
    <t>Cost of salesforce $m</t>
  </si>
  <si>
    <t>Sales with co-commercialisation $m</t>
  </si>
  <si>
    <t>Incremental sales $m</t>
  </si>
  <si>
    <t>Gross profit   forecast $m</t>
  </si>
  <si>
    <t>Gross profit with co-commercialisation $m</t>
  </si>
  <si>
    <t>Incremental gross profit $m</t>
  </si>
  <si>
    <t>Less profit share $m</t>
  </si>
  <si>
    <t>Net incremental gross profit $m</t>
  </si>
  <si>
    <t>Net incremental profit to Licensee $m</t>
  </si>
  <si>
    <t>Fees payable to Licensor $m</t>
  </si>
  <si>
    <t>Incremental profit share $m</t>
  </si>
  <si>
    <t>Incremental cost / profit to Licensee from salesforce $m</t>
  </si>
  <si>
    <t>Net incremental profit to Licensor $m</t>
  </si>
  <si>
    <t>Salesforce fees received from Licensee $m</t>
  </si>
  <si>
    <t>Net gain/(loss) to Licensee of co-commercialisation (= (gain)/loss to Licensor) NPV $m</t>
  </si>
  <si>
    <t>Co commercialisation partner &gt;0 = YES</t>
  </si>
  <si>
    <t>Total S&amp;M</t>
  </si>
  <si>
    <t>Forecast US sales above</t>
  </si>
  <si>
    <t>Better / worse than 100%</t>
  </si>
  <si>
    <t>Yr 1-5</t>
  </si>
  <si>
    <t>Yr 6-10</t>
  </si>
  <si>
    <t>1 if &gt; 100%</t>
  </si>
  <si>
    <t>&lt; 100%</t>
  </si>
  <si>
    <t>&gt; = 100%</t>
  </si>
  <si>
    <t>First 5 yrs</t>
  </si>
  <si>
    <t>Second 5 years promotion</t>
  </si>
  <si>
    <t>Sales with US co-commercialisation or 100% promotion by Atlas</t>
  </si>
  <si>
    <t>Yr 5 Mkt Sh</t>
  </si>
  <si>
    <t>excl terminal value</t>
  </si>
  <si>
    <t>Receipt from Licensee for salsforce costs</t>
  </si>
  <si>
    <t>Total Sales</t>
  </si>
  <si>
    <t>Sales &amp; Marketing costs</t>
  </si>
  <si>
    <t>Total profit</t>
  </si>
  <si>
    <t>operating costs</t>
  </si>
  <si>
    <t>Sunk prolutamide costs</t>
  </si>
  <si>
    <t>DOS</t>
  </si>
  <si>
    <t>Acceptance of filing</t>
  </si>
  <si>
    <t xml:space="preserve">Approval of MA </t>
  </si>
  <si>
    <t>Post chemo CRPC</t>
  </si>
  <si>
    <t>Non chemo CRPC</t>
  </si>
  <si>
    <t>First patient dosed in clinical</t>
  </si>
  <si>
    <t xml:space="preserve">Ordinary shares issued m </t>
  </si>
  <si>
    <t>Share price $</t>
  </si>
  <si>
    <t>Amount raised / gross proceeds</t>
  </si>
  <si>
    <t>Net amount raised from share issues</t>
  </si>
  <si>
    <t>Total number of shares</t>
  </si>
  <si>
    <t>Public price</t>
  </si>
  <si>
    <t>Share of voice</t>
  </si>
  <si>
    <t>Total development milestones and upfront</t>
  </si>
  <si>
    <t>If US co-commercialisation enter fee per call paid to Licensor</t>
  </si>
  <si>
    <t>% Lee pays?</t>
  </si>
  <si>
    <t>FUND RAISING</t>
  </si>
  <si>
    <t>Actual</t>
  </si>
  <si>
    <t>Licensor supply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</si>
</sst>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1" formatCode="_-* #,##0_-;\-* #,##0_-;_-* &quot;-&quot;_-;_-@_-"/>
    <numFmt numFmtId="43" formatCode="_-* #,##0.00_-;\-* #,##0.00_-;_-* &quot;-&quot;??_-;_-@_-"/>
    <numFmt numFmtId="164" formatCode="_-* #,##0.0_-;\-* #,##0.0_-;_-* &quot;-&quot;??_-;_-@_-"/>
    <numFmt numFmtId="165" formatCode="0.0"/>
    <numFmt numFmtId="166" formatCode="_-* #,##0_-;\-* #,##0_-;_-* &quot;-&quot;??_-;_-@_-"/>
    <numFmt numFmtId="167" formatCode="_-* #,##0.0_-;\-* #,##0.0_-;_-* &quot;-&quot;?_-;_-@_-"/>
    <numFmt numFmtId="168" formatCode="0.0%"/>
    <numFmt numFmtId="169" formatCode="_(* #,##0.00_);_(* \(#,##0.00\);_(* &quot;-&quot;??_);_(@_)"/>
    <numFmt numFmtId="170" formatCode="_(* #,##0_);_(* \(#,##0\);_(* &quot;-&quot;??_);_(@_)"/>
    <numFmt numFmtId="171" formatCode="[$€-2]\ #,##0;[Red]\-[$€-2]\ #,##0"/>
    <numFmt numFmtId="172" formatCode="_(* #,##0.0_);_(* \(#,##0.0\);_(* &quot;-&quot;??_);_(@_)"/>
    <numFmt numFmtId="173" formatCode="[$€-2]\ #,##0.00"/>
    <numFmt numFmtId="174" formatCode="[$€-2]\ #,##0"/>
    <numFmt numFmtId="175" formatCode="[$€-2]\ #,##0.00;\-[$€-2]\ #,##0.00"/>
    <numFmt numFmtId="176" formatCode="_-[$$-409]* #,##0.00_ ;_-[$$-409]* \-#,##0.00\ ;_-[$$-409]* &quot;-&quot;??_ ;_-@_ "/>
    <numFmt numFmtId="177" formatCode="#,##0.00_);\(#,##0.00\)"/>
    <numFmt numFmtId="178" formatCode="#,##0.0"/>
    <numFmt numFmtId="179" formatCode="0.000"/>
    <numFmt numFmtId="180" formatCode="[$$-409]#,##0"/>
  </numFmts>
  <fonts count="4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u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sz val="10"/>
      <color indexed="55"/>
      <name val="Arial"/>
      <family val="2"/>
    </font>
    <font>
      <b/>
      <sz val="10"/>
      <color indexed="55"/>
      <name val="Arial"/>
      <family val="2"/>
    </font>
    <font>
      <sz val="10"/>
      <color indexed="55"/>
      <name val="Arial"/>
      <family val="2"/>
    </font>
    <font>
      <b/>
      <sz val="12"/>
      <name val="Arial"/>
      <family val="2"/>
    </font>
    <font>
      <b/>
      <sz val="10"/>
      <color indexed="48"/>
      <name val="Arial"/>
      <family val="2"/>
    </font>
    <font>
      <b/>
      <sz val="11"/>
      <name val="Arial"/>
      <family val="2"/>
    </font>
    <font>
      <sz val="10"/>
      <color indexed="23"/>
      <name val="Arial"/>
      <family val="2"/>
    </font>
    <font>
      <i/>
      <sz val="12"/>
      <name val="Garamond"/>
      <family val="1"/>
    </font>
    <font>
      <b/>
      <u/>
      <sz val="11"/>
      <name val="Arial"/>
      <family val="2"/>
    </font>
    <font>
      <sz val="8"/>
      <color indexed="10"/>
      <name val="Arial"/>
      <family val="2"/>
    </font>
    <font>
      <sz val="11"/>
      <color rgb="FF006100"/>
      <name val="Calibri"/>
      <family val="2"/>
      <scheme val="minor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0" tint="-0.34998626667073579"/>
      <name val="Arial"/>
      <family val="2"/>
    </font>
    <font>
      <sz val="10"/>
      <color theme="0" tint="-0.499984740745262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 tint="-0.14999847407452621"/>
      <name val="Arial"/>
      <family val="2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</font>
    <font>
      <b/>
      <sz val="10"/>
      <color indexed="8"/>
      <name val="Calibri"/>
      <family val="2"/>
    </font>
    <font>
      <sz val="10"/>
      <name val="Calibri"/>
      <family val="2"/>
    </font>
    <font>
      <sz val="10"/>
      <color indexed="8"/>
      <name val="Calibri"/>
      <family val="2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0" tint="-0.34998626667073579"/>
      <name val="Arial"/>
      <family val="2"/>
    </font>
    <font>
      <sz val="10"/>
      <color rgb="FF0066FF"/>
      <name val="Arial"/>
      <family val="2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b/>
      <sz val="11"/>
      <color theme="0" tint="-0.34998626667073579"/>
      <name val="Calibri"/>
      <family val="2"/>
      <scheme val="minor"/>
    </font>
    <font>
      <b/>
      <sz val="12"/>
      <color theme="0" tint="-0.34998626667073579"/>
      <name val="Arial"/>
      <family val="2"/>
    </font>
    <font>
      <u/>
      <sz val="10"/>
      <color theme="0" tint="-0.34998626667073579"/>
      <name val="Arial"/>
      <family val="2"/>
    </font>
    <font>
      <i/>
      <sz val="11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0"/>
      <color theme="0" tint="-0.1499984740745262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ck">
        <color indexed="9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4" fillId="4" borderId="0" applyNumberFormat="0" applyBorder="0" applyAlignment="0" applyProtection="0"/>
    <xf numFmtId="0" fontId="3" fillId="0" borderId="0"/>
    <xf numFmtId="9" fontId="1" fillId="0" borderId="0" applyFont="0" applyFill="0" applyBorder="0" applyAlignment="0" applyProtection="0"/>
  </cellStyleXfs>
  <cellXfs count="1070">
    <xf numFmtId="0" fontId="0" fillId="0" borderId="0" xfId="0"/>
    <xf numFmtId="0" fontId="2" fillId="0" borderId="0" xfId="0" applyFont="1"/>
    <xf numFmtId="0" fontId="3" fillId="0" borderId="0" xfId="0" applyFont="1"/>
    <xf numFmtId="9" fontId="0" fillId="0" borderId="0" xfId="6" applyFont="1"/>
    <xf numFmtId="0" fontId="0" fillId="0" borderId="0" xfId="0" applyFill="1"/>
    <xf numFmtId="0" fontId="0" fillId="0" borderId="0" xfId="0" applyAlignment="1">
      <alignment horizontal="center"/>
    </xf>
    <xf numFmtId="0" fontId="2" fillId="0" borderId="0" xfId="0" applyFont="1" applyFill="1" applyBorder="1"/>
    <xf numFmtId="1" fontId="3" fillId="0" borderId="0" xfId="0" applyNumberFormat="1" applyFont="1" applyFill="1" applyBorder="1"/>
    <xf numFmtId="0" fontId="0" fillId="0" borderId="0" xfId="0" applyFill="1" applyBorder="1"/>
    <xf numFmtId="0" fontId="4" fillId="0" borderId="0" xfId="0" applyFont="1" applyFill="1" applyBorder="1"/>
    <xf numFmtId="0" fontId="2" fillId="0" borderId="0" xfId="0" applyFont="1" applyBorder="1"/>
    <xf numFmtId="0" fontId="0" fillId="0" borderId="0" xfId="0" applyBorder="1"/>
    <xf numFmtId="166" fontId="0" fillId="0" borderId="0" xfId="1" applyNumberFormat="1" applyFont="1" applyBorder="1"/>
    <xf numFmtId="0" fontId="2" fillId="0" borderId="0" xfId="0" applyFont="1" applyBorder="1" applyAlignment="1">
      <alignment horizontal="center"/>
    </xf>
    <xf numFmtId="0" fontId="3" fillId="0" borderId="0" xfId="0" applyFont="1" applyBorder="1"/>
    <xf numFmtId="43" fontId="3" fillId="0" borderId="0" xfId="1" applyFont="1" applyBorder="1"/>
    <xf numFmtId="164" fontId="0" fillId="0" borderId="0" xfId="1" applyNumberFormat="1" applyFont="1" applyBorder="1"/>
    <xf numFmtId="164" fontId="2" fillId="0" borderId="0" xfId="1" applyNumberFormat="1" applyFont="1" applyBorder="1"/>
    <xf numFmtId="9" fontId="0" fillId="0" borderId="0" xfId="6" applyFont="1" applyBorder="1"/>
    <xf numFmtId="0" fontId="4" fillId="0" borderId="0" xfId="0" applyFont="1" applyBorder="1"/>
    <xf numFmtId="0" fontId="3" fillId="0" borderId="0" xfId="0" applyFont="1" applyFill="1" applyBorder="1"/>
    <xf numFmtId="0" fontId="0" fillId="0" borderId="1" xfId="0" applyBorder="1"/>
    <xf numFmtId="0" fontId="5" fillId="0" borderId="0" xfId="0" applyFont="1" applyFill="1" applyBorder="1"/>
    <xf numFmtId="1" fontId="2" fillId="0" borderId="0" xfId="1" applyNumberFormat="1" applyFont="1" applyFill="1" applyBorder="1" applyAlignment="1" applyProtection="1">
      <alignment horizontal="center"/>
    </xf>
    <xf numFmtId="43" fontId="3" fillId="0" borderId="0" xfId="1" applyFont="1" applyFill="1" applyBorder="1" applyAlignment="1" applyProtection="1">
      <alignment horizontal="center"/>
    </xf>
    <xf numFmtId="170" fontId="3" fillId="0" borderId="0" xfId="1" applyNumberFormat="1" applyFont="1" applyFill="1" applyBorder="1" applyAlignment="1" applyProtection="1">
      <alignment horizontal="center"/>
    </xf>
    <xf numFmtId="170" fontId="2" fillId="0" borderId="0" xfId="1" applyNumberFormat="1" applyFont="1" applyFill="1" applyBorder="1" applyProtection="1"/>
    <xf numFmtId="170" fontId="3" fillId="0" borderId="0" xfId="1" applyNumberFormat="1" applyFont="1" applyFill="1" applyBorder="1" applyProtection="1"/>
    <xf numFmtId="0" fontId="3" fillId="0" borderId="0" xfId="0" applyFont="1" applyFill="1" applyBorder="1" applyProtection="1"/>
    <xf numFmtId="9" fontId="5" fillId="0" borderId="0" xfId="6" applyFont="1" applyFill="1" applyBorder="1" applyProtection="1"/>
    <xf numFmtId="170" fontId="3" fillId="0" borderId="0" xfId="1" applyNumberFormat="1" applyFont="1" applyFill="1" applyBorder="1" applyAlignment="1" applyProtection="1">
      <alignment horizontal="right"/>
    </xf>
    <xf numFmtId="0" fontId="2" fillId="0" borderId="0" xfId="0" applyFont="1" applyFill="1" applyBorder="1" applyProtection="1"/>
    <xf numFmtId="170" fontId="2" fillId="0" borderId="0" xfId="1" applyNumberFormat="1" applyFont="1" applyFill="1" applyBorder="1" applyAlignment="1" applyProtection="1">
      <alignment horizontal="center"/>
    </xf>
    <xf numFmtId="170" fontId="5" fillId="0" borderId="0" xfId="1" applyNumberFormat="1" applyFont="1" applyFill="1" applyBorder="1" applyProtection="1"/>
    <xf numFmtId="3" fontId="3" fillId="0" borderId="0" xfId="0" applyNumberFormat="1" applyFont="1" applyFill="1" applyBorder="1"/>
    <xf numFmtId="170" fontId="2" fillId="0" borderId="0" xfId="0" applyNumberFormat="1" applyFont="1" applyFill="1" applyBorder="1"/>
    <xf numFmtId="168" fontId="3" fillId="0" borderId="0" xfId="0" applyNumberFormat="1" applyFont="1" applyFill="1" applyBorder="1" applyProtection="1"/>
    <xf numFmtId="0" fontId="5" fillId="0" borderId="0" xfId="0" applyFont="1" applyFill="1" applyBorder="1" applyProtection="1"/>
    <xf numFmtId="9" fontId="5" fillId="0" borderId="0" xfId="6" applyNumberFormat="1" applyFont="1" applyFill="1" applyBorder="1" applyProtection="1"/>
    <xf numFmtId="170" fontId="3" fillId="0" borderId="0" xfId="0" applyNumberFormat="1" applyFont="1" applyFill="1" applyBorder="1"/>
    <xf numFmtId="170" fontId="3" fillId="0" borderId="0" xfId="1" applyNumberFormat="1" applyFont="1" applyFill="1" applyBorder="1"/>
    <xf numFmtId="170" fontId="3" fillId="0" borderId="0" xfId="1" applyNumberFormat="1" applyFont="1" applyBorder="1"/>
    <xf numFmtId="9" fontId="3" fillId="0" borderId="0" xfId="0" applyNumberFormat="1" applyFont="1" applyFill="1" applyBorder="1" applyProtection="1"/>
    <xf numFmtId="0" fontId="6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70" fontId="5" fillId="0" borderId="0" xfId="0" applyNumberFormat="1" applyFont="1" applyFill="1" applyBorder="1"/>
    <xf numFmtId="1" fontId="3" fillId="0" borderId="0" xfId="1" applyNumberFormat="1" applyFont="1" applyFill="1" applyBorder="1" applyAlignment="1" applyProtection="1">
      <alignment horizontal="center"/>
    </xf>
    <xf numFmtId="166" fontId="3" fillId="0" borderId="0" xfId="1" applyNumberFormat="1" applyFont="1" applyFill="1" applyBorder="1" applyAlignment="1" applyProtection="1">
      <alignment horizontal="center"/>
    </xf>
    <xf numFmtId="9" fontId="4" fillId="0" borderId="0" xfId="0" applyNumberFormat="1" applyFont="1" applyFill="1" applyBorder="1"/>
    <xf numFmtId="166" fontId="2" fillId="0" borderId="0" xfId="1" applyNumberFormat="1" applyFont="1" applyFill="1" applyBorder="1" applyAlignment="1" applyProtection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/>
    <xf numFmtId="166" fontId="2" fillId="0" borderId="0" xfId="0" applyNumberFormat="1" applyFont="1" applyBorder="1"/>
    <xf numFmtId="166" fontId="0" fillId="0" borderId="0" xfId="1" applyNumberFormat="1" applyFont="1" applyFill="1" applyBorder="1"/>
    <xf numFmtId="0" fontId="0" fillId="0" borderId="0" xfId="0" applyFill="1" applyBorder="1" applyAlignment="1">
      <alignment horizontal="center"/>
    </xf>
    <xf numFmtId="166" fontId="2" fillId="0" borderId="0" xfId="0" applyNumberFormat="1" applyFont="1" applyFill="1" applyBorder="1"/>
    <xf numFmtId="166" fontId="3" fillId="0" borderId="0" xfId="1" applyNumberFormat="1" applyFont="1" applyFill="1" applyBorder="1"/>
    <xf numFmtId="9" fontId="0" fillId="0" borderId="0" xfId="0" applyNumberFormat="1" applyFill="1" applyBorder="1" applyAlignment="1">
      <alignment horizontal="center"/>
    </xf>
    <xf numFmtId="166" fontId="0" fillId="0" borderId="0" xfId="0" applyNumberFormat="1" applyFill="1" applyBorder="1"/>
    <xf numFmtId="0" fontId="2" fillId="0" borderId="1" xfId="0" applyFont="1" applyFill="1" applyBorder="1"/>
    <xf numFmtId="166" fontId="0" fillId="0" borderId="1" xfId="0" applyNumberFormat="1" applyFill="1" applyBorder="1"/>
    <xf numFmtId="9" fontId="3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Border="1"/>
    <xf numFmtId="9" fontId="0" fillId="0" borderId="0" xfId="0" applyNumberFormat="1" applyBorder="1"/>
    <xf numFmtId="0" fontId="3" fillId="0" borderId="1" xfId="0" applyFont="1" applyFill="1" applyBorder="1"/>
    <xf numFmtId="43" fontId="0" fillId="0" borderId="0" xfId="1" applyFont="1" applyBorder="1"/>
    <xf numFmtId="166" fontId="2" fillId="0" borderId="0" xfId="1" applyNumberFormat="1" applyFont="1" applyFill="1" applyBorder="1"/>
    <xf numFmtId="0" fontId="11" fillId="0" borderId="0" xfId="0" applyFont="1" applyBorder="1" applyAlignment="1">
      <alignment horizontal="center"/>
    </xf>
    <xf numFmtId="0" fontId="10" fillId="0" borderId="0" xfId="0" applyFont="1" applyFill="1" applyBorder="1"/>
    <xf numFmtId="166" fontId="2" fillId="0" borderId="0" xfId="1" applyNumberFormat="1" applyFont="1" applyFill="1" applyBorder="1" applyAlignment="1">
      <alignment horizontal="center"/>
    </xf>
    <xf numFmtId="166" fontId="3" fillId="0" borderId="0" xfId="1" applyNumberFormat="1" applyFont="1" applyFill="1" applyBorder="1" applyAlignment="1">
      <alignment horizontal="center"/>
    </xf>
    <xf numFmtId="9" fontId="3" fillId="0" borderId="0" xfId="6" applyFont="1" applyFill="1" applyBorder="1"/>
    <xf numFmtId="9" fontId="4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0" fillId="0" borderId="2" xfId="0" applyBorder="1"/>
    <xf numFmtId="0" fontId="0" fillId="0" borderId="5" xfId="0" applyBorder="1"/>
    <xf numFmtId="43" fontId="4" fillId="0" borderId="0" xfId="1" applyFont="1" applyBorder="1"/>
    <xf numFmtId="166" fontId="5" fillId="0" borderId="0" xfId="1" applyNumberFormat="1" applyFont="1" applyFill="1" applyBorder="1" applyAlignment="1">
      <alignment horizontal="left"/>
    </xf>
    <xf numFmtId="9" fontId="0" fillId="0" borderId="0" xfId="0" applyNumberFormat="1" applyFill="1" applyBorder="1"/>
    <xf numFmtId="166" fontId="9" fillId="0" borderId="0" xfId="1" applyNumberFormat="1" applyFont="1" applyFill="1" applyBorder="1" applyAlignment="1">
      <alignment horizontal="left"/>
    </xf>
    <xf numFmtId="9" fontId="0" fillId="0" borderId="0" xfId="6" applyFont="1" applyFill="1" applyBorder="1"/>
    <xf numFmtId="166" fontId="1" fillId="0" borderId="0" xfId="1" applyNumberFormat="1" applyFont="1" applyBorder="1"/>
    <xf numFmtId="9" fontId="2" fillId="0" borderId="0" xfId="6" applyFont="1" applyFill="1" applyBorder="1"/>
    <xf numFmtId="1" fontId="3" fillId="0" borderId="0" xfId="1" applyNumberFormat="1" applyFont="1" applyFill="1" applyBorder="1" applyAlignment="1">
      <alignment horizontal="center"/>
    </xf>
    <xf numFmtId="0" fontId="14" fillId="0" borderId="0" xfId="0" applyFont="1"/>
    <xf numFmtId="168" fontId="2" fillId="0" borderId="0" xfId="6" applyNumberFormat="1" applyFont="1" applyFill="1" applyBorder="1"/>
    <xf numFmtId="0" fontId="15" fillId="0" borderId="0" xfId="0" applyFont="1" applyFill="1" applyBorder="1" applyAlignment="1">
      <alignment horizontal="center"/>
    </xf>
    <xf numFmtId="3" fontId="14" fillId="0" borderId="0" xfId="0" applyNumberFormat="1" applyFont="1"/>
    <xf numFmtId="0" fontId="15" fillId="0" borderId="0" xfId="0" applyFont="1" applyFill="1" applyBorder="1"/>
    <xf numFmtId="0" fontId="16" fillId="0" borderId="0" xfId="0" applyFont="1" applyBorder="1"/>
    <xf numFmtId="166" fontId="14" fillId="0" borderId="0" xfId="0" applyNumberFormat="1" applyFont="1" applyBorder="1"/>
    <xf numFmtId="0" fontId="14" fillId="0" borderId="0" xfId="0" applyFont="1" applyBorder="1"/>
    <xf numFmtId="9" fontId="14" fillId="0" borderId="0" xfId="6" applyFont="1" applyBorder="1"/>
    <xf numFmtId="0" fontId="14" fillId="0" borderId="0" xfId="0" applyFont="1" applyFill="1" applyBorder="1"/>
    <xf numFmtId="0" fontId="0" fillId="0" borderId="1" xfId="0" applyFill="1" applyBorder="1"/>
    <xf numFmtId="173" fontId="4" fillId="0" borderId="0" xfId="1" applyNumberFormat="1" applyFont="1" applyFill="1" applyBorder="1" applyAlignment="1">
      <alignment horizontal="right"/>
    </xf>
    <xf numFmtId="0" fontId="14" fillId="0" borderId="0" xfId="0" applyFont="1" applyAlignment="1">
      <alignment horizontal="center"/>
    </xf>
    <xf numFmtId="43" fontId="14" fillId="0" borderId="0" xfId="1" applyFont="1"/>
    <xf numFmtId="43" fontId="14" fillId="0" borderId="0" xfId="0" applyNumberFormat="1" applyFont="1"/>
    <xf numFmtId="0" fontId="16" fillId="0" borderId="0" xfId="0" applyFont="1"/>
    <xf numFmtId="164" fontId="3" fillId="0" borderId="0" xfId="1" applyNumberFormat="1" applyFont="1" applyFill="1" applyBorder="1"/>
    <xf numFmtId="166" fontId="5" fillId="0" borderId="0" xfId="0" applyNumberFormat="1" applyFont="1" applyFill="1" applyBorder="1"/>
    <xf numFmtId="164" fontId="2" fillId="0" borderId="0" xfId="1" applyNumberFormat="1" applyFont="1" applyFill="1" applyBorder="1" applyAlignment="1">
      <alignment horizontal="center"/>
    </xf>
    <xf numFmtId="9" fontId="5" fillId="0" borderId="0" xfId="0" applyNumberFormat="1" applyFont="1" applyFill="1" applyBorder="1"/>
    <xf numFmtId="0" fontId="5" fillId="0" borderId="0" xfId="0" applyFont="1" applyBorder="1" applyAlignment="1">
      <alignment horizontal="center"/>
    </xf>
    <xf numFmtId="170" fontId="0" fillId="0" borderId="0" xfId="0" applyNumberFormat="1" applyFill="1" applyBorder="1"/>
    <xf numFmtId="0" fontId="15" fillId="0" borderId="0" xfId="0" applyFont="1" applyBorder="1" applyProtection="1"/>
    <xf numFmtId="0" fontId="14" fillId="0" borderId="0" xfId="0" applyFont="1" applyBorder="1" applyProtection="1"/>
    <xf numFmtId="0" fontId="15" fillId="0" borderId="0" xfId="0" applyFont="1" applyFill="1" applyBorder="1" applyProtection="1"/>
    <xf numFmtId="0" fontId="15" fillId="0" borderId="0" xfId="0" applyFont="1" applyBorder="1"/>
    <xf numFmtId="0" fontId="14" fillId="0" borderId="0" xfId="0" applyFont="1" applyFill="1" applyBorder="1" applyProtection="1"/>
    <xf numFmtId="0" fontId="15" fillId="0" borderId="0" xfId="0" applyFont="1"/>
    <xf numFmtId="166" fontId="14" fillId="0" borderId="0" xfId="1" applyNumberFormat="1" applyFont="1" applyFill="1" applyBorder="1" applyAlignment="1" applyProtection="1">
      <alignment horizontal="center"/>
    </xf>
    <xf numFmtId="170" fontId="14" fillId="0" borderId="0" xfId="1" applyNumberFormat="1" applyFont="1" applyFill="1" applyBorder="1" applyAlignment="1" applyProtection="1">
      <alignment horizontal="center"/>
    </xf>
    <xf numFmtId="170" fontId="15" fillId="0" borderId="0" xfId="1" applyNumberFormat="1" applyFont="1" applyFill="1" applyBorder="1" applyAlignment="1" applyProtection="1">
      <alignment horizontal="center"/>
    </xf>
    <xf numFmtId="170" fontId="14" fillId="0" borderId="0" xfId="1" applyNumberFormat="1" applyFont="1" applyFill="1" applyBorder="1" applyProtection="1"/>
    <xf numFmtId="9" fontId="14" fillId="0" borderId="0" xfId="6" applyFont="1"/>
    <xf numFmtId="164" fontId="1" fillId="0" borderId="0" xfId="1" applyNumberFormat="1" applyFont="1" applyBorder="1"/>
    <xf numFmtId="0" fontId="17" fillId="0" borderId="0" xfId="0" applyFont="1"/>
    <xf numFmtId="168" fontId="14" fillId="0" borderId="0" xfId="6" applyNumberFormat="1" applyFont="1"/>
    <xf numFmtId="0" fontId="17" fillId="0" borderId="0" xfId="0" applyFont="1" applyFill="1" applyBorder="1"/>
    <xf numFmtId="170" fontId="14" fillId="0" borderId="0" xfId="0" applyNumberFormat="1" applyFont="1"/>
    <xf numFmtId="9" fontId="14" fillId="0" borderId="0" xfId="6" applyFont="1" applyFill="1" applyBorder="1" applyProtection="1"/>
    <xf numFmtId="0" fontId="15" fillId="0" borderId="0" xfId="0" applyFont="1" applyBorder="1" applyAlignment="1">
      <alignment horizontal="center"/>
    </xf>
    <xf numFmtId="170" fontId="14" fillId="0" borderId="0" xfId="1" applyNumberFormat="1" applyFont="1"/>
    <xf numFmtId="168" fontId="15" fillId="0" borderId="0" xfId="6" applyNumberFormat="1" applyFont="1" applyFill="1" applyBorder="1" applyAlignment="1" applyProtection="1">
      <alignment horizontal="right"/>
    </xf>
    <xf numFmtId="0" fontId="4" fillId="0" borderId="0" xfId="0" applyFont="1" applyFill="1" applyBorder="1" applyAlignment="1">
      <alignment horizontal="center"/>
    </xf>
    <xf numFmtId="170" fontId="16" fillId="0" borderId="0" xfId="0" applyNumberFormat="1" applyFont="1"/>
    <xf numFmtId="170" fontId="2" fillId="0" borderId="0" xfId="6" applyNumberFormat="1" applyFont="1" applyFill="1" applyBorder="1"/>
    <xf numFmtId="43" fontId="16" fillId="0" borderId="0" xfId="1" applyFont="1" applyBorder="1"/>
    <xf numFmtId="170" fontId="2" fillId="0" borderId="0" xfId="1" applyNumberFormat="1" applyFont="1" applyFill="1" applyBorder="1" applyAlignment="1" applyProtection="1">
      <alignment horizontal="left"/>
    </xf>
    <xf numFmtId="9" fontId="5" fillId="0" borderId="1" xfId="0" applyNumberFormat="1" applyFont="1" applyFill="1" applyBorder="1" applyAlignment="1">
      <alignment horizontal="center"/>
    </xf>
    <xf numFmtId="166" fontId="2" fillId="0" borderId="1" xfId="0" applyNumberFormat="1" applyFont="1" applyFill="1" applyBorder="1"/>
    <xf numFmtId="0" fontId="9" fillId="0" borderId="0" xfId="0" applyFont="1" applyFill="1" applyBorder="1"/>
    <xf numFmtId="9" fontId="4" fillId="0" borderId="0" xfId="6" applyFont="1" applyFill="1" applyBorder="1"/>
    <xf numFmtId="164" fontId="0" fillId="0" borderId="0" xfId="1" applyNumberFormat="1" applyFont="1" applyFill="1" applyBorder="1"/>
    <xf numFmtId="43" fontId="0" fillId="0" borderId="0" xfId="0" applyNumberFormat="1" applyFill="1" applyBorder="1"/>
    <xf numFmtId="166" fontId="3" fillId="0" borderId="0" xfId="0" applyNumberFormat="1" applyFont="1" applyFill="1" applyBorder="1" applyAlignment="1">
      <alignment horizontal="left"/>
    </xf>
    <xf numFmtId="170" fontId="0" fillId="0" borderId="0" xfId="0" applyNumberFormat="1" applyBorder="1"/>
    <xf numFmtId="166" fontId="9" fillId="0" borderId="0" xfId="1" applyNumberFormat="1" applyFont="1" applyFill="1" applyBorder="1"/>
    <xf numFmtId="164" fontId="9" fillId="0" borderId="0" xfId="0" applyNumberFormat="1" applyFont="1" applyFill="1" applyBorder="1"/>
    <xf numFmtId="164" fontId="9" fillId="0" borderId="0" xfId="1" applyNumberFormat="1" applyFont="1" applyFill="1" applyBorder="1"/>
    <xf numFmtId="164" fontId="0" fillId="0" borderId="0" xfId="0" applyNumberFormat="1"/>
    <xf numFmtId="0" fontId="1" fillId="0" borderId="0" xfId="0" applyFont="1" applyFill="1" applyBorder="1" applyAlignment="1">
      <alignment horizontal="center"/>
    </xf>
    <xf numFmtId="164" fontId="2" fillId="0" borderId="0" xfId="0" applyNumberFormat="1" applyFont="1" applyBorder="1"/>
    <xf numFmtId="172" fontId="0" fillId="0" borderId="1" xfId="0" applyNumberFormat="1" applyBorder="1"/>
    <xf numFmtId="172" fontId="12" fillId="0" borderId="1" xfId="1" applyNumberFormat="1" applyFont="1" applyBorder="1"/>
    <xf numFmtId="172" fontId="1" fillId="0" borderId="1" xfId="1" applyNumberFormat="1" applyFont="1" applyBorder="1"/>
    <xf numFmtId="172" fontId="0" fillId="0" borderId="1" xfId="6" applyNumberFormat="1" applyFont="1" applyBorder="1"/>
    <xf numFmtId="172" fontId="2" fillId="0" borderId="7" xfId="1" applyNumberFormat="1" applyFont="1" applyBorder="1"/>
    <xf numFmtId="9" fontId="12" fillId="0" borderId="0" xfId="0" applyNumberFormat="1" applyFont="1" applyFill="1" applyBorder="1" applyAlignment="1">
      <alignment horizontal="center"/>
    </xf>
    <xf numFmtId="170" fontId="3" fillId="0" borderId="1" xfId="1" applyNumberFormat="1" applyFont="1" applyFill="1" applyBorder="1" applyProtection="1"/>
    <xf numFmtId="170" fontId="2" fillId="0" borderId="7" xfId="1" applyNumberFormat="1" applyFont="1" applyFill="1" applyBorder="1" applyAlignment="1" applyProtection="1">
      <alignment horizontal="center"/>
    </xf>
    <xf numFmtId="170" fontId="3" fillId="0" borderId="7" xfId="1" applyNumberFormat="1" applyFont="1" applyFill="1" applyBorder="1" applyProtection="1"/>
    <xf numFmtId="166" fontId="16" fillId="0" borderId="0" xfId="0" applyNumberFormat="1" applyFont="1"/>
    <xf numFmtId="43" fontId="3" fillId="0" borderId="8" xfId="1" applyFont="1" applyFill="1" applyBorder="1" applyAlignment="1" applyProtection="1">
      <alignment horizontal="center"/>
    </xf>
    <xf numFmtId="170" fontId="14" fillId="0" borderId="0" xfId="0" applyNumberFormat="1" applyFont="1" applyFill="1" applyBorder="1"/>
    <xf numFmtId="166" fontId="15" fillId="0" borderId="0" xfId="0" applyNumberFormat="1" applyFont="1" applyFill="1" applyBorder="1"/>
    <xf numFmtId="9" fontId="15" fillId="0" borderId="0" xfId="0" applyNumberFormat="1" applyFont="1" applyFill="1" applyBorder="1" applyAlignment="1">
      <alignment horizontal="center"/>
    </xf>
    <xf numFmtId="166" fontId="14" fillId="0" borderId="0" xfId="0" applyNumberFormat="1" applyFont="1" applyFill="1" applyBorder="1"/>
    <xf numFmtId="166" fontId="5" fillId="0" borderId="1" xfId="1" applyNumberFormat="1" applyFont="1" applyBorder="1"/>
    <xf numFmtId="164" fontId="2" fillId="0" borderId="1" xfId="0" applyNumberFormat="1" applyFont="1" applyBorder="1"/>
    <xf numFmtId="164" fontId="0" fillId="0" borderId="1" xfId="1" applyNumberFormat="1" applyFont="1" applyBorder="1"/>
    <xf numFmtId="166" fontId="12" fillId="0" borderId="0" xfId="1" applyNumberFormat="1" applyFont="1" applyFill="1" applyBorder="1"/>
    <xf numFmtId="166" fontId="0" fillId="0" borderId="1" xfId="0" applyNumberFormat="1" applyBorder="1"/>
    <xf numFmtId="166" fontId="0" fillId="0" borderId="1" xfId="1" applyNumberFormat="1" applyFont="1" applyBorder="1"/>
    <xf numFmtId="0" fontId="4" fillId="0" borderId="0" xfId="0" applyFont="1" applyFill="1" applyBorder="1" applyProtection="1"/>
    <xf numFmtId="170" fontId="9" fillId="0" borderId="0" xfId="0" applyNumberFormat="1" applyFont="1" applyFill="1" applyBorder="1"/>
    <xf numFmtId="0" fontId="9" fillId="0" borderId="10" xfId="0" applyFont="1" applyFill="1" applyBorder="1"/>
    <xf numFmtId="166" fontId="9" fillId="0" borderId="9" xfId="0" applyNumberFormat="1" applyFont="1" applyFill="1" applyBorder="1"/>
    <xf numFmtId="0" fontId="0" fillId="0" borderId="9" xfId="0" applyFill="1" applyBorder="1"/>
    <xf numFmtId="0" fontId="2" fillId="0" borderId="9" xfId="0" applyFont="1" applyFill="1" applyBorder="1"/>
    <xf numFmtId="9" fontId="18" fillId="0" borderId="9" xfId="6" applyFont="1" applyFill="1" applyBorder="1"/>
    <xf numFmtId="0" fontId="18" fillId="0" borderId="9" xfId="0" applyFont="1" applyFill="1" applyBorder="1"/>
    <xf numFmtId="3" fontId="4" fillId="0" borderId="0" xfId="0" applyNumberFormat="1" applyFont="1" applyFill="1" applyBorder="1"/>
    <xf numFmtId="43" fontId="0" fillId="0" borderId="0" xfId="1" applyFont="1" applyFill="1" applyBorder="1" applyAlignment="1">
      <alignment horizontal="right"/>
    </xf>
    <xf numFmtId="9" fontId="2" fillId="0" borderId="0" xfId="6" applyFont="1" applyFill="1" applyBorder="1" applyAlignment="1">
      <alignment horizontal="right"/>
    </xf>
    <xf numFmtId="173" fontId="2" fillId="0" borderId="0" xfId="0" applyNumberFormat="1" applyFont="1" applyFill="1" applyBorder="1"/>
    <xf numFmtId="0" fontId="2" fillId="0" borderId="1" xfId="0" applyFont="1" applyBorder="1" applyAlignment="1">
      <alignment horizontal="right"/>
    </xf>
    <xf numFmtId="166" fontId="2" fillId="0" borderId="0" xfId="1" applyNumberFormat="1" applyFont="1" applyBorder="1"/>
    <xf numFmtId="0" fontId="0" fillId="0" borderId="4" xfId="0" applyFill="1" applyBorder="1" applyAlignment="1">
      <alignment horizontal="center"/>
    </xf>
    <xf numFmtId="166" fontId="5" fillId="0" borderId="0" xfId="1" applyNumberFormat="1" applyFont="1" applyBorder="1"/>
    <xf numFmtId="0" fontId="20" fillId="0" borderId="0" xfId="0" applyFont="1" applyBorder="1"/>
    <xf numFmtId="0" fontId="20" fillId="0" borderId="0" xfId="0" applyFont="1"/>
    <xf numFmtId="174" fontId="20" fillId="0" borderId="0" xfId="1" applyNumberFormat="1" applyFont="1" applyFill="1" applyBorder="1" applyAlignment="1">
      <alignment horizontal="center"/>
    </xf>
    <xf numFmtId="168" fontId="0" fillId="0" borderId="1" xfId="6" applyNumberFormat="1" applyFont="1" applyBorder="1"/>
    <xf numFmtId="170" fontId="2" fillId="0" borderId="0" xfId="0" applyNumberFormat="1" applyFont="1" applyBorder="1"/>
    <xf numFmtId="166" fontId="2" fillId="0" borderId="9" xfId="0" applyNumberFormat="1" applyFont="1" applyFill="1" applyBorder="1"/>
    <xf numFmtId="170" fontId="2" fillId="0" borderId="7" xfId="0" applyNumberFormat="1" applyFont="1" applyFill="1" applyBorder="1"/>
    <xf numFmtId="170" fontId="2" fillId="0" borderId="9" xfId="0" applyNumberFormat="1" applyFont="1" applyFill="1" applyBorder="1"/>
    <xf numFmtId="166" fontId="3" fillId="0" borderId="0" xfId="0" applyNumberFormat="1" applyFont="1" applyFill="1" applyBorder="1" applyAlignment="1">
      <alignment horizontal="right"/>
    </xf>
    <xf numFmtId="9" fontId="3" fillId="0" borderId="0" xfId="6" applyFont="1" applyBorder="1" applyAlignment="1">
      <alignment horizontal="left"/>
    </xf>
    <xf numFmtId="170" fontId="2" fillId="0" borderId="9" xfId="1" applyNumberFormat="1" applyFont="1" applyFill="1" applyBorder="1"/>
    <xf numFmtId="170" fontId="15" fillId="0" borderId="0" xfId="0" applyNumberFormat="1" applyFont="1" applyFill="1" applyBorder="1" applyAlignment="1">
      <alignment horizontal="center"/>
    </xf>
    <xf numFmtId="164" fontId="0" fillId="0" borderId="0" xfId="0" applyNumberFormat="1" applyBorder="1"/>
    <xf numFmtId="164" fontId="2" fillId="0" borderId="1" xfId="1" applyNumberFormat="1" applyFont="1" applyBorder="1"/>
    <xf numFmtId="0" fontId="2" fillId="0" borderId="1" xfId="0" applyFont="1" applyBorder="1"/>
    <xf numFmtId="0" fontId="5" fillId="2" borderId="0" xfId="0" applyFont="1" applyFill="1" applyBorder="1"/>
    <xf numFmtId="9" fontId="5" fillId="2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right"/>
    </xf>
    <xf numFmtId="0" fontId="2" fillId="0" borderId="16" xfId="0" applyFont="1" applyFill="1" applyBorder="1"/>
    <xf numFmtId="166" fontId="0" fillId="0" borderId="5" xfId="1" applyNumberFormat="1" applyFont="1" applyBorder="1"/>
    <xf numFmtId="9" fontId="12" fillId="0" borderId="1" xfId="0" applyNumberFormat="1" applyFont="1" applyBorder="1"/>
    <xf numFmtId="0" fontId="5" fillId="2" borderId="0" xfId="0" applyFont="1" applyFill="1"/>
    <xf numFmtId="0" fontId="2" fillId="2" borderId="0" xfId="0" applyFont="1" applyFill="1" applyBorder="1"/>
    <xf numFmtId="0" fontId="0" fillId="2" borderId="0" xfId="0" applyFill="1"/>
    <xf numFmtId="0" fontId="15" fillId="0" borderId="0" xfId="0" applyFont="1" applyAlignment="1">
      <alignment horizontal="center"/>
    </xf>
    <xf numFmtId="166" fontId="4" fillId="0" borderId="0" xfId="0" applyNumberFormat="1" applyFont="1" applyFill="1" applyBorder="1" applyAlignment="1">
      <alignment horizontal="left"/>
    </xf>
    <xf numFmtId="0" fontId="2" fillId="0" borderId="14" xfId="0" applyFont="1" applyFill="1" applyBorder="1"/>
    <xf numFmtId="0" fontId="0" fillId="0" borderId="17" xfId="0" applyFill="1" applyBorder="1"/>
    <xf numFmtId="0" fontId="0" fillId="0" borderId="17" xfId="0" applyFill="1" applyBorder="1" applyAlignment="1">
      <alignment horizontal="center"/>
    </xf>
    <xf numFmtId="0" fontId="2" fillId="0" borderId="17" xfId="0" applyFont="1" applyFill="1" applyBorder="1" applyAlignment="1">
      <alignment horizontal="center"/>
    </xf>
    <xf numFmtId="0" fontId="0" fillId="0" borderId="6" xfId="0" applyFill="1" applyBorder="1"/>
    <xf numFmtId="0" fontId="2" fillId="0" borderId="18" xfId="0" applyFont="1" applyFill="1" applyBorder="1" applyAlignment="1">
      <alignment horizontal="center"/>
    </xf>
    <xf numFmtId="0" fontId="0" fillId="0" borderId="18" xfId="0" applyFill="1" applyBorder="1"/>
    <xf numFmtId="0" fontId="2" fillId="0" borderId="6" xfId="0" applyFont="1" applyFill="1" applyBorder="1"/>
    <xf numFmtId="0" fontId="5" fillId="0" borderId="0" xfId="0" applyFont="1" applyBorder="1"/>
    <xf numFmtId="0" fontId="0" fillId="0" borderId="12" xfId="0" applyFill="1" applyBorder="1"/>
    <xf numFmtId="0" fontId="4" fillId="0" borderId="1" xfId="0" applyFont="1" applyBorder="1"/>
    <xf numFmtId="0" fontId="0" fillId="0" borderId="1" xfId="0" applyFill="1" applyBorder="1" applyAlignment="1">
      <alignment horizontal="center"/>
    </xf>
    <xf numFmtId="164" fontId="9" fillId="0" borderId="1" xfId="0" applyNumberFormat="1" applyFont="1" applyFill="1" applyBorder="1"/>
    <xf numFmtId="166" fontId="3" fillId="0" borderId="1" xfId="0" applyNumberFormat="1" applyFont="1" applyFill="1" applyBorder="1"/>
    <xf numFmtId="43" fontId="0" fillId="0" borderId="1" xfId="0" applyNumberFormat="1" applyFill="1" applyBorder="1"/>
    <xf numFmtId="43" fontId="2" fillId="0" borderId="1" xfId="0" applyNumberFormat="1" applyFont="1" applyFill="1" applyBorder="1"/>
    <xf numFmtId="166" fontId="4" fillId="0" borderId="1" xfId="0" applyNumberFormat="1" applyFont="1" applyFill="1" applyBorder="1" applyAlignment="1">
      <alignment horizontal="left"/>
    </xf>
    <xf numFmtId="0" fontId="4" fillId="0" borderId="1" xfId="0" applyFont="1" applyFill="1" applyBorder="1"/>
    <xf numFmtId="1" fontId="5" fillId="2" borderId="1" xfId="0" applyNumberFormat="1" applyFont="1" applyFill="1" applyBorder="1" applyAlignment="1">
      <alignment horizontal="center"/>
    </xf>
    <xf numFmtId="0" fontId="2" fillId="0" borderId="17" xfId="0" applyFont="1" applyFill="1" applyBorder="1"/>
    <xf numFmtId="0" fontId="0" fillId="2" borderId="0" xfId="0" applyFill="1" applyBorder="1"/>
    <xf numFmtId="9" fontId="2" fillId="0" borderId="0" xfId="6" applyFont="1" applyFill="1" applyBorder="1" applyAlignment="1">
      <alignment horizontal="left"/>
    </xf>
    <xf numFmtId="9" fontId="2" fillId="0" borderId="0" xfId="0" applyNumberFormat="1" applyFont="1" applyBorder="1" applyAlignment="1">
      <alignment horizontal="left"/>
    </xf>
    <xf numFmtId="9" fontId="2" fillId="0" borderId="0" xfId="6" applyNumberFormat="1" applyFont="1" applyFill="1" applyBorder="1" applyAlignment="1" applyProtection="1">
      <alignment horizontal="right"/>
    </xf>
    <xf numFmtId="0" fontId="9" fillId="0" borderId="17" xfId="0" applyFont="1" applyFill="1" applyBorder="1" applyAlignment="1">
      <alignment horizontal="center"/>
    </xf>
    <xf numFmtId="166" fontId="9" fillId="0" borderId="1" xfId="0" applyNumberFormat="1" applyFont="1" applyFill="1" applyBorder="1"/>
    <xf numFmtId="0" fontId="2" fillId="0" borderId="17" xfId="0" applyFont="1" applyBorder="1"/>
    <xf numFmtId="9" fontId="2" fillId="0" borderId="0" xfId="6" applyFont="1" applyBorder="1"/>
    <xf numFmtId="168" fontId="3" fillId="0" borderId="0" xfId="6" applyNumberFormat="1" applyFont="1" applyBorder="1"/>
    <xf numFmtId="166" fontId="1" fillId="0" borderId="0" xfId="1" applyNumberFormat="1" applyFont="1" applyFill="1" applyBorder="1"/>
    <xf numFmtId="43" fontId="0" fillId="0" borderId="0" xfId="0" applyNumberFormat="1" applyBorder="1"/>
    <xf numFmtId="171" fontId="2" fillId="0" borderId="0" xfId="0" applyNumberFormat="1" applyFont="1" applyFill="1" applyBorder="1" applyAlignment="1">
      <alignment horizontal="center"/>
    </xf>
    <xf numFmtId="9" fontId="3" fillId="0" borderId="0" xfId="6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Fill="1" applyBorder="1"/>
    <xf numFmtId="166" fontId="1" fillId="0" borderId="0" xfId="1" applyNumberFormat="1" applyFont="1" applyFill="1" applyBorder="1" applyAlignment="1">
      <alignment horizontal="center"/>
    </xf>
    <xf numFmtId="166" fontId="12" fillId="0" borderId="1" xfId="1" applyNumberFormat="1" applyFont="1" applyFill="1" applyBorder="1"/>
    <xf numFmtId="9" fontId="5" fillId="2" borderId="0" xfId="0" applyNumberFormat="1" applyFont="1" applyFill="1" applyBorder="1" applyAlignment="1" applyProtection="1">
      <alignment horizontal="center"/>
    </xf>
    <xf numFmtId="166" fontId="9" fillId="0" borderId="17" xfId="1" applyNumberFormat="1" applyFont="1" applyFill="1" applyBorder="1"/>
    <xf numFmtId="0" fontId="9" fillId="0" borderId="0" xfId="0" applyFont="1" applyFill="1" applyBorder="1" applyAlignment="1">
      <alignment horizontal="center"/>
    </xf>
    <xf numFmtId="43" fontId="9" fillId="0" borderId="1" xfId="0" applyNumberFormat="1" applyFont="1" applyFill="1" applyBorder="1"/>
    <xf numFmtId="9" fontId="0" fillId="0" borderId="1" xfId="6" applyFont="1" applyBorder="1"/>
    <xf numFmtId="0" fontId="4" fillId="0" borderId="0" xfId="0" applyFont="1" applyFill="1" applyBorder="1" applyAlignment="1">
      <alignment horizontal="right"/>
    </xf>
    <xf numFmtId="166" fontId="3" fillId="0" borderId="0" xfId="0" applyNumberFormat="1" applyFont="1" applyBorder="1"/>
    <xf numFmtId="166" fontId="9" fillId="0" borderId="9" xfId="0" applyNumberFormat="1" applyFont="1" applyFill="1" applyBorder="1" applyAlignment="1">
      <alignment horizontal="center"/>
    </xf>
    <xf numFmtId="0" fontId="9" fillId="0" borderId="9" xfId="0" applyFont="1" applyFill="1" applyBorder="1"/>
    <xf numFmtId="166" fontId="0" fillId="0" borderId="9" xfId="0" applyNumberFormat="1" applyFill="1" applyBorder="1"/>
    <xf numFmtId="41" fontId="21" fillId="0" borderId="0" xfId="2" applyFont="1" applyFill="1" applyBorder="1"/>
    <xf numFmtId="166" fontId="2" fillId="0" borderId="0" xfId="0" applyNumberFormat="1" applyFont="1" applyFill="1" applyBorder="1" applyAlignment="1">
      <alignment horizontal="center"/>
    </xf>
    <xf numFmtId="166" fontId="0" fillId="0" borderId="0" xfId="1" applyNumberFormat="1" applyFon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9" fontId="0" fillId="0" borderId="0" xfId="6" applyFont="1" applyBorder="1" applyAlignment="1">
      <alignment horizontal="center"/>
    </xf>
    <xf numFmtId="168" fontId="3" fillId="0" borderId="0" xfId="6" applyNumberFormat="1" applyFont="1" applyFill="1" applyBorder="1" applyAlignment="1">
      <alignment horizontal="center"/>
    </xf>
    <xf numFmtId="0" fontId="3" fillId="0" borderId="0" xfId="0" applyFont="1" applyBorder="1" applyAlignment="1">
      <alignment horizontal="right"/>
    </xf>
    <xf numFmtId="166" fontId="25" fillId="0" borderId="0" xfId="1" applyNumberFormat="1" applyFont="1" applyBorder="1"/>
    <xf numFmtId="166" fontId="25" fillId="0" borderId="0" xfId="0" applyNumberFormat="1" applyFont="1" applyBorder="1"/>
    <xf numFmtId="43" fontId="0" fillId="0" borderId="0" xfId="1" applyFont="1" applyBorder="1" applyAlignment="1">
      <alignment horizontal="center"/>
    </xf>
    <xf numFmtId="0" fontId="3" fillId="0" borderId="1" xfId="0" applyFont="1" applyBorder="1"/>
    <xf numFmtId="9" fontId="0" fillId="0" borderId="1" xfId="6" applyFont="1" applyBorder="1" applyAlignment="1">
      <alignment horizontal="center"/>
    </xf>
    <xf numFmtId="164" fontId="0" fillId="0" borderId="1" xfId="0" applyNumberFormat="1" applyBorder="1"/>
    <xf numFmtId="43" fontId="0" fillId="0" borderId="0" xfId="1" applyNumberFormat="1" applyFont="1" applyBorder="1"/>
    <xf numFmtId="9" fontId="5" fillId="3" borderId="0" xfId="0" applyNumberFormat="1" applyFont="1" applyFill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0" fillId="0" borderId="1" xfId="0" applyBorder="1" applyAlignment="1">
      <alignment horizontal="right"/>
    </xf>
    <xf numFmtId="43" fontId="3" fillId="0" borderId="0" xfId="1" applyFont="1" applyFill="1" applyBorder="1" applyAlignment="1">
      <alignment horizontal="center"/>
    </xf>
    <xf numFmtId="43" fontId="3" fillId="0" borderId="9" xfId="1" applyFont="1" applyFill="1" applyBorder="1" applyAlignment="1">
      <alignment horizontal="center"/>
    </xf>
    <xf numFmtId="43" fontId="4" fillId="0" borderId="0" xfId="1" applyFont="1" applyFill="1" applyBorder="1" applyAlignment="1">
      <alignment horizontal="right"/>
    </xf>
    <xf numFmtId="43" fontId="3" fillId="0" borderId="7" xfId="1" applyFont="1" applyFill="1" applyBorder="1" applyAlignment="1">
      <alignment horizontal="center"/>
    </xf>
    <xf numFmtId="166" fontId="26" fillId="0" borderId="0" xfId="1" applyNumberFormat="1" applyFont="1" applyFill="1" applyBorder="1" applyAlignment="1">
      <alignment horizontal="center"/>
    </xf>
    <xf numFmtId="166" fontId="25" fillId="0" borderId="0" xfId="1" applyNumberFormat="1" applyFont="1" applyFill="1" applyBorder="1" applyAlignment="1">
      <alignment horizontal="center"/>
    </xf>
    <xf numFmtId="43" fontId="25" fillId="0" borderId="0" xfId="1" applyFont="1" applyFill="1" applyBorder="1" applyAlignment="1">
      <alignment horizontal="center"/>
    </xf>
    <xf numFmtId="166" fontId="5" fillId="0" borderId="1" xfId="1" applyNumberFormat="1" applyFont="1" applyFill="1" applyBorder="1"/>
    <xf numFmtId="0" fontId="1" fillId="0" borderId="0" xfId="0" applyFont="1" applyBorder="1" applyAlignment="1">
      <alignment horizontal="right"/>
    </xf>
    <xf numFmtId="43" fontId="9" fillId="0" borderId="0" xfId="0" applyNumberFormat="1" applyFont="1" applyFill="1" applyBorder="1" applyAlignment="1">
      <alignment horizontal="right"/>
    </xf>
    <xf numFmtId="0" fontId="0" fillId="0" borderId="6" xfId="0" applyBorder="1"/>
    <xf numFmtId="0" fontId="19" fillId="0" borderId="14" xfId="0" applyFont="1" applyFill="1" applyBorder="1"/>
    <xf numFmtId="0" fontId="3" fillId="0" borderId="17" xfId="0" applyFont="1" applyFill="1" applyBorder="1"/>
    <xf numFmtId="0" fontId="0" fillId="0" borderId="17" xfId="0" applyBorder="1"/>
    <xf numFmtId="0" fontId="0" fillId="0" borderId="19" xfId="0" applyBorder="1"/>
    <xf numFmtId="0" fontId="0" fillId="0" borderId="18" xfId="0" applyBorder="1"/>
    <xf numFmtId="0" fontId="0" fillId="0" borderId="12" xfId="0" applyBorder="1"/>
    <xf numFmtId="43" fontId="4" fillId="0" borderId="17" xfId="1" applyFont="1" applyBorder="1" applyAlignment="1">
      <alignment horizontal="center"/>
    </xf>
    <xf numFmtId="0" fontId="19" fillId="0" borderId="6" xfId="0" applyFont="1" applyFill="1" applyBorder="1"/>
    <xf numFmtId="0" fontId="0" fillId="0" borderId="14" xfId="0" applyBorder="1"/>
    <xf numFmtId="0" fontId="19" fillId="0" borderId="12" xfId="0" applyFont="1" applyFill="1" applyBorder="1"/>
    <xf numFmtId="0" fontId="0" fillId="0" borderId="15" xfId="0" applyBorder="1"/>
    <xf numFmtId="9" fontId="0" fillId="0" borderId="17" xfId="6" applyFont="1" applyBorder="1"/>
    <xf numFmtId="9" fontId="9" fillId="0" borderId="0" xfId="6" applyFont="1" applyFill="1" applyBorder="1" applyAlignment="1">
      <alignment horizontal="center"/>
    </xf>
    <xf numFmtId="168" fontId="0" fillId="0" borderId="0" xfId="6" applyNumberFormat="1" applyFont="1" applyBorder="1"/>
    <xf numFmtId="0" fontId="0" fillId="0" borderId="6" xfId="0" applyFill="1" applyBorder="1" applyAlignment="1">
      <alignment horizontal="center"/>
    </xf>
    <xf numFmtId="166" fontId="2" fillId="0" borderId="6" xfId="1" applyNumberFormat="1" applyFont="1" applyFill="1" applyBorder="1"/>
    <xf numFmtId="170" fontId="3" fillId="0" borderId="6" xfId="1" applyNumberFormat="1" applyFont="1" applyFill="1" applyBorder="1" applyProtection="1"/>
    <xf numFmtId="170" fontId="3" fillId="0" borderId="12" xfId="1" applyNumberFormat="1" applyFont="1" applyFill="1" applyBorder="1" applyProtection="1"/>
    <xf numFmtId="170" fontId="2" fillId="0" borderId="6" xfId="1" applyNumberFormat="1" applyFont="1" applyFill="1" applyBorder="1" applyProtection="1"/>
    <xf numFmtId="170" fontId="2" fillId="0" borderId="6" xfId="1" applyNumberFormat="1" applyFont="1" applyFill="1" applyBorder="1" applyAlignment="1" applyProtection="1">
      <alignment horizontal="center"/>
    </xf>
    <xf numFmtId="170" fontId="2" fillId="0" borderId="11" xfId="1" applyNumberFormat="1" applyFont="1" applyFill="1" applyBorder="1" applyAlignment="1" applyProtection="1">
      <alignment horizontal="center"/>
    </xf>
    <xf numFmtId="166" fontId="2" fillId="0" borderId="6" xfId="1" applyNumberFormat="1" applyFont="1" applyFill="1" applyBorder="1" applyAlignment="1" applyProtection="1">
      <alignment horizontal="center"/>
    </xf>
    <xf numFmtId="43" fontId="3" fillId="0" borderId="13" xfId="1" applyFont="1" applyFill="1" applyBorder="1" applyAlignment="1" applyProtection="1">
      <alignment horizontal="center"/>
    </xf>
    <xf numFmtId="170" fontId="3" fillId="0" borderId="6" xfId="0" applyNumberFormat="1" applyFont="1" applyFill="1" applyBorder="1"/>
    <xf numFmtId="0" fontId="17" fillId="0" borderId="14" xfId="0" applyFont="1" applyBorder="1"/>
    <xf numFmtId="0" fontId="17" fillId="0" borderId="6" xfId="0" applyFont="1" applyBorder="1"/>
    <xf numFmtId="0" fontId="2" fillId="0" borderId="0" xfId="0" applyFont="1" applyBorder="1" applyAlignment="1">
      <alignment horizontal="left"/>
    </xf>
    <xf numFmtId="0" fontId="0" fillId="0" borderId="18" xfId="0" applyBorder="1" applyAlignment="1">
      <alignment horizontal="center"/>
    </xf>
    <xf numFmtId="0" fontId="0" fillId="0" borderId="18" xfId="0" applyBorder="1" applyAlignment="1">
      <alignment horizontal="left"/>
    </xf>
    <xf numFmtId="0" fontId="2" fillId="0" borderId="17" xfId="0" applyFont="1" applyBorder="1" applyAlignment="1">
      <alignment horizontal="left"/>
    </xf>
    <xf numFmtId="0" fontId="0" fillId="0" borderId="19" xfId="0" applyBorder="1" applyAlignment="1">
      <alignment horizontal="center"/>
    </xf>
    <xf numFmtId="0" fontId="0" fillId="0" borderId="0" xfId="0" applyBorder="1" applyAlignment="1">
      <alignment horizontal="left"/>
    </xf>
    <xf numFmtId="0" fontId="2" fillId="0" borderId="6" xfId="0" applyFont="1" applyFill="1" applyBorder="1" applyProtection="1"/>
    <xf numFmtId="0" fontId="2" fillId="0" borderId="12" xfId="0" applyFont="1" applyFill="1" applyBorder="1"/>
    <xf numFmtId="0" fontId="2" fillId="0" borderId="1" xfId="0" applyFont="1" applyFill="1" applyBorder="1" applyProtection="1"/>
    <xf numFmtId="0" fontId="3" fillId="0" borderId="1" xfId="0" applyFont="1" applyFill="1" applyBorder="1" applyProtection="1"/>
    <xf numFmtId="0" fontId="2" fillId="0" borderId="17" xfId="0" applyFont="1" applyFill="1" applyBorder="1" applyProtection="1"/>
    <xf numFmtId="0" fontId="3" fillId="0" borderId="17" xfId="0" applyFont="1" applyFill="1" applyBorder="1" applyProtection="1"/>
    <xf numFmtId="170" fontId="2" fillId="0" borderId="17" xfId="1" applyNumberFormat="1" applyFont="1" applyFill="1" applyBorder="1" applyAlignment="1" applyProtection="1">
      <alignment horizontal="center"/>
    </xf>
    <xf numFmtId="166" fontId="2" fillId="0" borderId="1" xfId="1" applyNumberFormat="1" applyFont="1" applyFill="1" applyBorder="1" applyAlignment="1" applyProtection="1">
      <alignment horizontal="center"/>
    </xf>
    <xf numFmtId="0" fontId="2" fillId="0" borderId="9" xfId="0" applyFont="1" applyFill="1" applyBorder="1" applyProtection="1"/>
    <xf numFmtId="0" fontId="3" fillId="0" borderId="16" xfId="0" applyFont="1" applyFill="1" applyBorder="1" applyProtection="1"/>
    <xf numFmtId="0" fontId="5" fillId="0" borderId="1" xfId="0" applyFont="1" applyFill="1" applyBorder="1"/>
    <xf numFmtId="0" fontId="3" fillId="0" borderId="0" xfId="0" applyFont="1" applyFill="1" applyBorder="1" applyAlignment="1" applyProtection="1">
      <alignment horizontal="right"/>
    </xf>
    <xf numFmtId="0" fontId="2" fillId="0" borderId="0" xfId="0" applyFont="1" applyFill="1" applyBorder="1" applyAlignment="1" applyProtection="1">
      <alignment horizontal="right"/>
    </xf>
    <xf numFmtId="170" fontId="2" fillId="0" borderId="1" xfId="1" applyNumberFormat="1" applyFont="1" applyFill="1" applyBorder="1" applyAlignment="1" applyProtection="1">
      <alignment horizontal="center"/>
    </xf>
    <xf numFmtId="170" fontId="3" fillId="0" borderId="17" xfId="1" applyNumberFormat="1" applyFont="1" applyFill="1" applyBorder="1" applyProtection="1"/>
    <xf numFmtId="9" fontId="3" fillId="0" borderId="17" xfId="6" applyFont="1" applyFill="1" applyBorder="1"/>
    <xf numFmtId="9" fontId="2" fillId="0" borderId="1" xfId="6" applyNumberFormat="1" applyFont="1" applyFill="1" applyBorder="1" applyAlignment="1" applyProtection="1">
      <alignment horizontal="right"/>
    </xf>
    <xf numFmtId="43" fontId="3" fillId="0" borderId="1" xfId="1" applyFont="1" applyFill="1" applyBorder="1" applyAlignment="1" applyProtection="1">
      <alignment horizontal="center"/>
    </xf>
    <xf numFmtId="166" fontId="3" fillId="0" borderId="1" xfId="1" applyNumberFormat="1" applyFont="1" applyFill="1" applyBorder="1" applyAlignment="1" applyProtection="1">
      <alignment horizontal="center"/>
    </xf>
    <xf numFmtId="9" fontId="2" fillId="0" borderId="16" xfId="6" applyNumberFormat="1" applyFont="1" applyFill="1" applyBorder="1" applyAlignment="1" applyProtection="1">
      <alignment horizontal="right"/>
    </xf>
    <xf numFmtId="0" fontId="0" fillId="0" borderId="10" xfId="0" applyBorder="1"/>
    <xf numFmtId="0" fontId="2" fillId="0" borderId="6" xfId="0" applyFont="1" applyFill="1" applyBorder="1" applyAlignment="1">
      <alignment horizontal="right"/>
    </xf>
    <xf numFmtId="170" fontId="2" fillId="0" borderId="1" xfId="0" applyNumberFormat="1" applyFont="1" applyBorder="1"/>
    <xf numFmtId="166" fontId="2" fillId="0" borderId="5" xfId="1" applyNumberFormat="1" applyFont="1" applyFill="1" applyBorder="1" applyAlignment="1" applyProtection="1">
      <alignment horizontal="center"/>
    </xf>
    <xf numFmtId="170" fontId="2" fillId="0" borderId="10" xfId="1" applyNumberFormat="1" applyFont="1" applyFill="1" applyBorder="1" applyAlignment="1" applyProtection="1">
      <alignment horizontal="left"/>
    </xf>
    <xf numFmtId="0" fontId="0" fillId="0" borderId="9" xfId="0" applyBorder="1"/>
    <xf numFmtId="166" fontId="3" fillId="0" borderId="1" xfId="0" applyNumberFormat="1" applyFont="1" applyFill="1" applyBorder="1" applyAlignment="1">
      <alignment horizontal="right"/>
    </xf>
    <xf numFmtId="9" fontId="2" fillId="0" borderId="1" xfId="6" applyFont="1" applyFill="1" applyBorder="1" applyAlignment="1">
      <alignment horizontal="left"/>
    </xf>
    <xf numFmtId="9" fontId="2" fillId="0" borderId="1" xfId="0" applyNumberFormat="1" applyFont="1" applyBorder="1" applyAlignment="1">
      <alignment horizontal="left"/>
    </xf>
    <xf numFmtId="9" fontId="5" fillId="2" borderId="1" xfId="0" applyNumberFormat="1" applyFont="1" applyFill="1" applyBorder="1" applyAlignment="1">
      <alignment horizontal="center"/>
    </xf>
    <xf numFmtId="166" fontId="2" fillId="0" borderId="9" xfId="6" applyNumberFormat="1" applyFont="1" applyFill="1" applyBorder="1"/>
    <xf numFmtId="166" fontId="3" fillId="0" borderId="9" xfId="0" applyNumberFormat="1" applyFont="1" applyFill="1" applyBorder="1" applyAlignment="1">
      <alignment horizontal="right"/>
    </xf>
    <xf numFmtId="9" fontId="2" fillId="0" borderId="9" xfId="6" applyFont="1" applyFill="1" applyBorder="1" applyAlignment="1">
      <alignment horizontal="left"/>
    </xf>
    <xf numFmtId="9" fontId="0" fillId="0" borderId="9" xfId="6" applyFont="1" applyFill="1" applyBorder="1"/>
    <xf numFmtId="9" fontId="2" fillId="0" borderId="9" xfId="0" applyNumberFormat="1" applyFont="1" applyBorder="1" applyAlignment="1">
      <alignment horizontal="left"/>
    </xf>
    <xf numFmtId="166" fontId="0" fillId="0" borderId="9" xfId="0" applyNumberFormat="1" applyBorder="1"/>
    <xf numFmtId="9" fontId="0" fillId="0" borderId="9" xfId="6" applyFont="1" applyBorder="1"/>
    <xf numFmtId="0" fontId="24" fillId="4" borderId="14" xfId="4" applyBorder="1"/>
    <xf numFmtId="0" fontId="24" fillId="4" borderId="17" xfId="4" applyBorder="1"/>
    <xf numFmtId="0" fontId="24" fillId="4" borderId="10" xfId="4" applyBorder="1"/>
    <xf numFmtId="0" fontId="24" fillId="4" borderId="9" xfId="4" applyBorder="1"/>
    <xf numFmtId="0" fontId="24" fillId="4" borderId="9" xfId="4" applyBorder="1" applyAlignment="1">
      <alignment horizontal="center"/>
    </xf>
    <xf numFmtId="0" fontId="17" fillId="0" borderId="14" xfId="0" applyFont="1" applyFill="1" applyBorder="1"/>
    <xf numFmtId="0" fontId="5" fillId="0" borderId="17" xfId="0" applyFont="1" applyFill="1" applyBorder="1"/>
    <xf numFmtId="0" fontId="15" fillId="0" borderId="17" xfId="0" applyFont="1" applyFill="1" applyBorder="1"/>
    <xf numFmtId="0" fontId="2" fillId="0" borderId="1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5" fillId="0" borderId="14" xfId="0" applyFont="1" applyFill="1" applyBorder="1"/>
    <xf numFmtId="0" fontId="5" fillId="2" borderId="17" xfId="0" applyFont="1" applyFill="1" applyBorder="1" applyAlignment="1">
      <alignment horizontal="center"/>
    </xf>
    <xf numFmtId="166" fontId="16" fillId="0" borderId="17" xfId="0" applyNumberFormat="1" applyFont="1" applyBorder="1"/>
    <xf numFmtId="166" fontId="0" fillId="0" borderId="0" xfId="6" applyNumberFormat="1" applyFont="1" applyBorder="1"/>
    <xf numFmtId="166" fontId="5" fillId="0" borderId="0" xfId="0" applyNumberFormat="1" applyFont="1" applyBorder="1"/>
    <xf numFmtId="9" fontId="12" fillId="2" borderId="0" xfId="6" applyFont="1" applyFill="1" applyBorder="1"/>
    <xf numFmtId="0" fontId="3" fillId="0" borderId="17" xfId="0" applyFont="1" applyBorder="1" applyAlignment="1">
      <alignment horizontal="center"/>
    </xf>
    <xf numFmtId="0" fontId="17" fillId="0" borderId="6" xfId="0" applyFont="1" applyFill="1" applyBorder="1"/>
    <xf numFmtId="0" fontId="0" fillId="0" borderId="17" xfId="0" applyBorder="1" applyAlignment="1">
      <alignment horizontal="center"/>
    </xf>
    <xf numFmtId="164" fontId="0" fillId="0" borderId="17" xfId="1" applyNumberFormat="1" applyFont="1" applyBorder="1"/>
    <xf numFmtId="167" fontId="0" fillId="0" borderId="0" xfId="0" applyNumberFormat="1" applyBorder="1"/>
    <xf numFmtId="167" fontId="0" fillId="0" borderId="1" xfId="0" applyNumberFormat="1" applyBorder="1"/>
    <xf numFmtId="0" fontId="17" fillId="0" borderId="0" xfId="0" applyFont="1" applyBorder="1"/>
    <xf numFmtId="175" fontId="0" fillId="0" borderId="0" xfId="1" applyNumberFormat="1" applyFont="1" applyBorder="1"/>
    <xf numFmtId="172" fontId="0" fillId="0" borderId="0" xfId="0" applyNumberFormat="1" applyBorder="1"/>
    <xf numFmtId="172" fontId="0" fillId="0" borderId="0" xfId="6" applyNumberFormat="1" applyFont="1" applyBorder="1"/>
    <xf numFmtId="0" fontId="2" fillId="0" borderId="0" xfId="0" applyFont="1" applyBorder="1" applyAlignment="1">
      <alignment horizontal="right"/>
    </xf>
    <xf numFmtId="9" fontId="2" fillId="0" borderId="0" xfId="0" applyNumberFormat="1" applyFont="1" applyBorder="1"/>
    <xf numFmtId="3" fontId="0" fillId="0" borderId="0" xfId="0" applyNumberFormat="1" applyBorder="1"/>
    <xf numFmtId="9" fontId="2" fillId="0" borderId="1" xfId="0" applyNumberFormat="1" applyFont="1" applyBorder="1"/>
    <xf numFmtId="0" fontId="3" fillId="0" borderId="17" xfId="0" applyFont="1" applyBorder="1"/>
    <xf numFmtId="176" fontId="3" fillId="0" borderId="17" xfId="1" applyNumberFormat="1" applyFont="1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68" fontId="25" fillId="0" borderId="0" xfId="0" applyNumberFormat="1" applyFon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9" fontId="4" fillId="0" borderId="1" xfId="6" applyFont="1" applyFill="1" applyBorder="1" applyAlignment="1">
      <alignment horizontal="center"/>
    </xf>
    <xf numFmtId="0" fontId="20" fillId="0" borderId="1" xfId="0" applyFont="1" applyBorder="1"/>
    <xf numFmtId="174" fontId="20" fillId="0" borderId="1" xfId="1" applyNumberFormat="1" applyFont="1" applyFill="1" applyBorder="1" applyAlignment="1">
      <alignment horizontal="center"/>
    </xf>
    <xf numFmtId="0" fontId="5" fillId="0" borderId="17" xfId="0" applyFont="1" applyBorder="1"/>
    <xf numFmtId="9" fontId="12" fillId="0" borderId="0" xfId="0" applyNumberFormat="1" applyFont="1" applyBorder="1"/>
    <xf numFmtId="0" fontId="27" fillId="0" borderId="0" xfId="0" applyFont="1" applyFill="1" applyBorder="1"/>
    <xf numFmtId="0" fontId="2" fillId="0" borderId="4" xfId="0" applyFont="1" applyFill="1" applyBorder="1"/>
    <xf numFmtId="0" fontId="28" fillId="0" borderId="1" xfId="0" applyFont="1" applyBorder="1"/>
    <xf numFmtId="0" fontId="28" fillId="0" borderId="0" xfId="0" applyFont="1" applyFill="1" applyBorder="1"/>
    <xf numFmtId="170" fontId="2" fillId="0" borderId="22" xfId="1" applyNumberFormat="1" applyFont="1" applyFill="1" applyBorder="1" applyAlignment="1" applyProtection="1">
      <alignment horizontal="center"/>
    </xf>
    <xf numFmtId="170" fontId="2" fillId="0" borderId="10" xfId="1" applyNumberFormat="1" applyFont="1" applyFill="1" applyBorder="1" applyAlignment="1" applyProtection="1">
      <alignment horizontal="right"/>
    </xf>
    <xf numFmtId="170" fontId="2" fillId="0" borderId="9" xfId="1" applyNumberFormat="1" applyFont="1" applyFill="1" applyBorder="1" applyAlignment="1" applyProtection="1">
      <alignment horizontal="right"/>
    </xf>
    <xf numFmtId="170" fontId="2" fillId="0" borderId="2" xfId="1" applyNumberFormat="1" applyFont="1" applyFill="1" applyBorder="1" applyAlignment="1" applyProtection="1">
      <alignment horizontal="center"/>
    </xf>
    <xf numFmtId="170" fontId="2" fillId="0" borderId="11" xfId="0" applyNumberFormat="1" applyFont="1" applyFill="1" applyBorder="1" applyProtection="1"/>
    <xf numFmtId="170" fontId="2" fillId="0" borderId="7" xfId="0" applyNumberFormat="1" applyFont="1" applyFill="1" applyBorder="1" applyProtection="1"/>
    <xf numFmtId="170" fontId="2" fillId="0" borderId="0" xfId="0" applyNumberFormat="1" applyFont="1" applyFill="1" applyBorder="1" applyProtection="1"/>
    <xf numFmtId="170" fontId="2" fillId="0" borderId="6" xfId="0" applyNumberFormat="1" applyFont="1" applyFill="1" applyBorder="1" applyProtection="1"/>
    <xf numFmtId="168" fontId="2" fillId="0" borderId="0" xfId="6" applyNumberFormat="1" applyFont="1" applyFill="1" applyBorder="1" applyAlignment="1" applyProtection="1">
      <alignment horizontal="center"/>
    </xf>
    <xf numFmtId="165" fontId="3" fillId="0" borderId="0" xfId="1" applyNumberFormat="1" applyFont="1" applyFill="1" applyBorder="1" applyAlignment="1">
      <alignment horizontal="center"/>
    </xf>
    <xf numFmtId="0" fontId="5" fillId="2" borderId="17" xfId="0" applyFont="1" applyFill="1" applyBorder="1"/>
    <xf numFmtId="0" fontId="4" fillId="2" borderId="17" xfId="0" applyFont="1" applyFill="1" applyBorder="1"/>
    <xf numFmtId="0" fontId="4" fillId="2" borderId="17" xfId="0" applyFont="1" applyFill="1" applyBorder="1" applyAlignment="1">
      <alignment horizontal="center"/>
    </xf>
    <xf numFmtId="0" fontId="0" fillId="5" borderId="17" xfId="0" applyFill="1" applyBorder="1"/>
    <xf numFmtId="0" fontId="9" fillId="0" borderId="17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center"/>
    </xf>
    <xf numFmtId="1" fontId="5" fillId="2" borderId="3" xfId="1" applyNumberFormat="1" applyFont="1" applyFill="1" applyBorder="1" applyAlignment="1">
      <alignment horizontal="center"/>
    </xf>
    <xf numFmtId="168" fontId="5" fillId="2" borderId="3" xfId="0" applyNumberFormat="1" applyFont="1" applyFill="1" applyBorder="1" applyAlignment="1">
      <alignment horizontal="center"/>
    </xf>
    <xf numFmtId="166" fontId="12" fillId="2" borderId="3" xfId="1" applyNumberFormat="1" applyFont="1" applyFill="1" applyBorder="1"/>
    <xf numFmtId="0" fontId="23" fillId="0" borderId="17" xfId="0" applyFont="1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6" borderId="0" xfId="0" applyFill="1"/>
    <xf numFmtId="0" fontId="0" fillId="6" borderId="0" xfId="0" applyFill="1" applyBorder="1"/>
    <xf numFmtId="0" fontId="2" fillId="6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  <xf numFmtId="9" fontId="0" fillId="0" borderId="0" xfId="6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7" xfId="0" applyFont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1" fillId="0" borderId="0" xfId="0" applyFont="1" applyBorder="1" applyAlignment="1">
      <alignment horizontal="center"/>
    </xf>
    <xf numFmtId="2" fontId="3" fillId="0" borderId="0" xfId="6" applyNumberFormat="1" applyFont="1" applyBorder="1" applyAlignment="1">
      <alignment horizontal="center"/>
    </xf>
    <xf numFmtId="166" fontId="0" fillId="0" borderId="2" xfId="1" applyNumberFormat="1" applyFont="1" applyFill="1" applyBorder="1"/>
    <xf numFmtId="0" fontId="1" fillId="0" borderId="0" xfId="0" applyFont="1" applyBorder="1" applyAlignment="1">
      <alignment horizontal="left"/>
    </xf>
    <xf numFmtId="168" fontId="0" fillId="0" borderId="0" xfId="0" applyNumberFormat="1" applyBorder="1" applyAlignment="1">
      <alignment horizontal="center"/>
    </xf>
    <xf numFmtId="168" fontId="3" fillId="0" borderId="0" xfId="6" applyNumberFormat="1" applyFont="1" applyFill="1" applyBorder="1" applyAlignment="1">
      <alignment horizontal="right"/>
    </xf>
    <xf numFmtId="9" fontId="25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9" fontId="25" fillId="0" borderId="0" xfId="0" applyNumberFormat="1" applyFont="1" applyBorder="1"/>
    <xf numFmtId="0" fontId="1" fillId="0" borderId="17" xfId="0" applyFont="1" applyBorder="1"/>
    <xf numFmtId="0" fontId="25" fillId="0" borderId="17" xfId="0" applyFont="1" applyBorder="1" applyAlignment="1">
      <alignment horizontal="right"/>
    </xf>
    <xf numFmtId="0" fontId="1" fillId="0" borderId="12" xfId="0" applyFont="1" applyBorder="1"/>
    <xf numFmtId="0" fontId="1" fillId="0" borderId="1" xfId="0" applyFont="1" applyBorder="1"/>
    <xf numFmtId="166" fontId="2" fillId="0" borderId="7" xfId="1" applyNumberFormat="1" applyFont="1" applyBorder="1"/>
    <xf numFmtId="1" fontId="5" fillId="5" borderId="0" xfId="1" applyNumberFormat="1" applyFont="1" applyFill="1" applyBorder="1" applyAlignment="1">
      <alignment horizontal="center"/>
    </xf>
    <xf numFmtId="9" fontId="9" fillId="0" borderId="0" xfId="6" applyNumberFormat="1" applyFont="1" applyFill="1" applyBorder="1" applyAlignment="1">
      <alignment horizontal="center"/>
    </xf>
    <xf numFmtId="0" fontId="22" fillId="0" borderId="6" xfId="0" applyFont="1" applyFill="1" applyBorder="1"/>
    <xf numFmtId="166" fontId="1" fillId="0" borderId="0" xfId="0" applyNumberFormat="1" applyFont="1" applyBorder="1"/>
    <xf numFmtId="43" fontId="0" fillId="0" borderId="1" xfId="0" applyNumberFormat="1" applyBorder="1"/>
    <xf numFmtId="0" fontId="2" fillId="0" borderId="0" xfId="0" applyFont="1" applyFill="1" applyBorder="1" applyAlignment="1">
      <alignment horizontal="right"/>
    </xf>
    <xf numFmtId="0" fontId="1" fillId="0" borderId="0" xfId="0" quotePrefix="1" applyFont="1" applyBorder="1" applyAlignment="1">
      <alignment horizontal="left"/>
    </xf>
    <xf numFmtId="166" fontId="1" fillId="0" borderId="0" xfId="0" applyNumberFormat="1" applyFont="1" applyFill="1" applyBorder="1"/>
    <xf numFmtId="164" fontId="2" fillId="0" borderId="0" xfId="1" applyNumberFormat="1" applyFont="1" applyFill="1" applyBorder="1"/>
    <xf numFmtId="0" fontId="2" fillId="0" borderId="6" xfId="0" applyFont="1" applyBorder="1"/>
    <xf numFmtId="168" fontId="5" fillId="2" borderId="0" xfId="0" applyNumberFormat="1" applyFont="1" applyFill="1" applyBorder="1" applyAlignment="1">
      <alignment horizontal="center"/>
    </xf>
    <xf numFmtId="1" fontId="5" fillId="5" borderId="0" xfId="0" applyNumberFormat="1" applyFont="1" applyFill="1" applyBorder="1" applyAlignment="1">
      <alignment horizontal="center"/>
    </xf>
    <xf numFmtId="0" fontId="9" fillId="0" borderId="1" xfId="0" applyFont="1" applyFill="1" applyBorder="1" applyAlignment="1">
      <alignment horizontal="right"/>
    </xf>
    <xf numFmtId="9" fontId="0" fillId="0" borderId="18" xfId="0" applyNumberFormat="1" applyBorder="1" applyAlignment="1">
      <alignment horizontal="center"/>
    </xf>
    <xf numFmtId="169" fontId="3" fillId="0" borderId="0" xfId="1" applyNumberFormat="1" applyFont="1" applyFill="1" applyBorder="1" applyAlignment="1" applyProtection="1">
      <alignment horizontal="right"/>
    </xf>
    <xf numFmtId="9" fontId="5" fillId="0" borderId="0" xfId="0" applyNumberFormat="1" applyFont="1" applyFill="1" applyBorder="1" applyAlignment="1">
      <alignment horizontal="center"/>
    </xf>
    <xf numFmtId="170" fontId="3" fillId="0" borderId="1" xfId="1" applyNumberFormat="1" applyFont="1" applyFill="1" applyBorder="1" applyAlignment="1" applyProtection="1">
      <alignment horizontal="center"/>
    </xf>
    <xf numFmtId="0" fontId="2" fillId="0" borderId="19" xfId="0" applyFont="1" applyFill="1" applyBorder="1"/>
    <xf numFmtId="0" fontId="5" fillId="0" borderId="6" xfId="0" applyFont="1" applyFill="1" applyBorder="1"/>
    <xf numFmtId="0" fontId="0" fillId="0" borderId="18" xfId="0" applyFill="1" applyBorder="1" applyAlignment="1">
      <alignment horizontal="center"/>
    </xf>
    <xf numFmtId="0" fontId="3" fillId="0" borderId="6" xfId="0" applyFont="1" applyFill="1" applyBorder="1"/>
    <xf numFmtId="0" fontId="3" fillId="0" borderId="6" xfId="0" applyFont="1" applyFill="1" applyBorder="1" applyProtection="1"/>
    <xf numFmtId="0" fontId="3" fillId="0" borderId="23" xfId="0" applyFont="1" applyFill="1" applyBorder="1" applyProtection="1"/>
    <xf numFmtId="43" fontId="3" fillId="0" borderId="18" xfId="1" applyFont="1" applyFill="1" applyBorder="1" applyAlignment="1" applyProtection="1">
      <alignment horizontal="left"/>
    </xf>
    <xf numFmtId="9" fontId="3" fillId="0" borderId="17" xfId="6" applyFont="1" applyFill="1" applyBorder="1" applyAlignment="1" applyProtection="1">
      <alignment horizontal="center"/>
    </xf>
    <xf numFmtId="170" fontId="2" fillId="0" borderId="17" xfId="1" applyNumberFormat="1" applyFont="1" applyFill="1" applyBorder="1" applyProtection="1"/>
    <xf numFmtId="170" fontId="3" fillId="0" borderId="9" xfId="0" applyNumberFormat="1" applyFont="1" applyFill="1" applyBorder="1"/>
    <xf numFmtId="166" fontId="2" fillId="0" borderId="2" xfId="1" applyNumberFormat="1" applyFont="1" applyFill="1" applyBorder="1"/>
    <xf numFmtId="170" fontId="2" fillId="0" borderId="15" xfId="1" applyNumberFormat="1" applyFont="1" applyFill="1" applyBorder="1" applyAlignment="1" applyProtection="1">
      <alignment horizontal="center"/>
    </xf>
    <xf numFmtId="170" fontId="3" fillId="0" borderId="2" xfId="1" applyNumberFormat="1" applyFont="1" applyFill="1" applyBorder="1" applyAlignment="1" applyProtection="1">
      <alignment horizontal="right"/>
    </xf>
    <xf numFmtId="170" fontId="3" fillId="0" borderId="2" xfId="1" applyNumberFormat="1" applyFont="1" applyFill="1" applyBorder="1" applyProtection="1"/>
    <xf numFmtId="170" fontId="3" fillId="0" borderId="2" xfId="0" applyNumberFormat="1" applyFont="1" applyFill="1" applyBorder="1"/>
    <xf numFmtId="170" fontId="2" fillId="0" borderId="5" xfId="1" applyNumberFormat="1" applyFont="1" applyFill="1" applyBorder="1" applyAlignment="1" applyProtection="1">
      <alignment horizontal="right"/>
    </xf>
    <xf numFmtId="170" fontId="2" fillId="0" borderId="4" xfId="1" applyNumberFormat="1" applyFont="1" applyFill="1" applyBorder="1" applyProtection="1"/>
    <xf numFmtId="170" fontId="3" fillId="0" borderId="5" xfId="1" applyNumberFormat="1" applyFont="1" applyFill="1" applyBorder="1" applyProtection="1"/>
    <xf numFmtId="170" fontId="3" fillId="0" borderId="3" xfId="0" applyNumberFormat="1" applyFont="1" applyFill="1" applyBorder="1"/>
    <xf numFmtId="170" fontId="2" fillId="0" borderId="4" xfId="1" applyNumberFormat="1" applyFont="1" applyFill="1" applyBorder="1" applyAlignment="1" applyProtection="1">
      <alignment horizontal="center"/>
    </xf>
    <xf numFmtId="170" fontId="2" fillId="0" borderId="5" xfId="1" applyNumberFormat="1" applyFont="1" applyFill="1" applyBorder="1" applyAlignment="1" applyProtection="1">
      <alignment horizontal="center"/>
    </xf>
    <xf numFmtId="170" fontId="2" fillId="0" borderId="2" xfId="0" applyNumberFormat="1" applyFont="1" applyFill="1" applyBorder="1" applyProtection="1"/>
    <xf numFmtId="170" fontId="3" fillId="0" borderId="2" xfId="1" applyNumberFormat="1" applyFont="1" applyFill="1" applyBorder="1" applyAlignment="1" applyProtection="1">
      <alignment horizontal="center"/>
    </xf>
    <xf numFmtId="166" fontId="2" fillId="0" borderId="2" xfId="1" applyNumberFormat="1" applyFont="1" applyFill="1" applyBorder="1" applyAlignment="1" applyProtection="1">
      <alignment horizontal="center"/>
    </xf>
    <xf numFmtId="1" fontId="15" fillId="0" borderId="0" xfId="0" applyNumberFormat="1" applyFont="1" applyBorder="1" applyAlignment="1">
      <alignment horizontal="center"/>
    </xf>
    <xf numFmtId="9" fontId="1" fillId="0" borderId="0" xfId="6" applyFont="1" applyFill="1" applyBorder="1"/>
    <xf numFmtId="165" fontId="5" fillId="2" borderId="4" xfId="1" applyNumberFormat="1" applyFont="1" applyFill="1" applyBorder="1" applyAlignment="1">
      <alignment horizontal="center"/>
    </xf>
    <xf numFmtId="166" fontId="2" fillId="0" borderId="2" xfId="0" applyNumberFormat="1" applyFont="1" applyFill="1" applyBorder="1"/>
    <xf numFmtId="166" fontId="3" fillId="0" borderId="2" xfId="1" applyNumberFormat="1" applyFont="1" applyFill="1" applyBorder="1"/>
    <xf numFmtId="170" fontId="2" fillId="0" borderId="2" xfId="0" applyNumberFormat="1" applyFont="1" applyFill="1" applyBorder="1"/>
    <xf numFmtId="170" fontId="28" fillId="0" borderId="2" xfId="0" applyNumberFormat="1" applyFont="1" applyFill="1" applyBorder="1"/>
    <xf numFmtId="170" fontId="2" fillId="0" borderId="3" xfId="0" applyNumberFormat="1" applyFont="1" applyFill="1" applyBorder="1"/>
    <xf numFmtId="170" fontId="0" fillId="0" borderId="2" xfId="0" applyNumberFormat="1" applyFill="1" applyBorder="1"/>
    <xf numFmtId="170" fontId="2" fillId="0" borderId="22" xfId="0" applyNumberFormat="1" applyFont="1" applyFill="1" applyBorder="1"/>
    <xf numFmtId="166" fontId="2" fillId="0" borderId="4" xfId="1" applyNumberFormat="1" applyFont="1" applyFill="1" applyBorder="1"/>
    <xf numFmtId="166" fontId="0" fillId="0" borderId="2" xfId="0" applyNumberFormat="1" applyFill="1" applyBorder="1"/>
    <xf numFmtId="166" fontId="2" fillId="0" borderId="3" xfId="0" applyNumberFormat="1" applyFont="1" applyFill="1" applyBorder="1"/>
    <xf numFmtId="166" fontId="3" fillId="0" borderId="2" xfId="0" applyNumberFormat="1" applyFont="1" applyFill="1" applyBorder="1"/>
    <xf numFmtId="170" fontId="2" fillId="0" borderId="3" xfId="1" applyNumberFormat="1" applyFont="1" applyFill="1" applyBorder="1"/>
    <xf numFmtId="9" fontId="1" fillId="0" borderId="1" xfId="6" applyFont="1" applyFill="1" applyBorder="1"/>
    <xf numFmtId="0" fontId="2" fillId="0" borderId="5" xfId="0" applyFont="1" applyFill="1" applyBorder="1" applyAlignment="1">
      <alignment horizontal="center"/>
    </xf>
    <xf numFmtId="0" fontId="1" fillId="0" borderId="18" xfId="0" applyFont="1" applyBorder="1" applyAlignment="1">
      <alignment horizontal="left"/>
    </xf>
    <xf numFmtId="0" fontId="30" fillId="0" borderId="19" xfId="0" applyFont="1" applyFill="1" applyBorder="1" applyAlignment="1">
      <alignment horizontal="center"/>
    </xf>
    <xf numFmtId="0" fontId="20" fillId="0" borderId="18" xfId="0" applyFont="1" applyBorder="1"/>
    <xf numFmtId="0" fontId="20" fillId="0" borderId="15" xfId="0" applyFont="1" applyBorder="1"/>
    <xf numFmtId="0" fontId="20" fillId="0" borderId="12" xfId="0" applyFont="1" applyBorder="1"/>
    <xf numFmtId="0" fontId="1" fillId="0" borderId="0" xfId="0" applyFont="1" applyFill="1" applyBorder="1" applyAlignment="1">
      <alignment horizontal="right"/>
    </xf>
    <xf numFmtId="0" fontId="1" fillId="0" borderId="0" xfId="0" quotePrefix="1" applyFont="1" applyBorder="1" applyAlignment="1">
      <alignment horizontal="center"/>
    </xf>
    <xf numFmtId="170" fontId="0" fillId="2" borderId="10" xfId="0" applyNumberFormat="1" applyFill="1" applyBorder="1"/>
    <xf numFmtId="170" fontId="0" fillId="2" borderId="9" xfId="0" applyNumberFormat="1" applyFill="1" applyBorder="1"/>
    <xf numFmtId="0" fontId="25" fillId="0" borderId="0" xfId="0" applyFont="1" applyFill="1" applyBorder="1"/>
    <xf numFmtId="164" fontId="26" fillId="0" borderId="0" xfId="1" applyNumberFormat="1" applyFont="1" applyFill="1" applyBorder="1"/>
    <xf numFmtId="0" fontId="1" fillId="0" borderId="0" xfId="0" applyFont="1" applyFill="1" applyBorder="1" applyProtection="1"/>
    <xf numFmtId="0" fontId="2" fillId="0" borderId="0" xfId="0" applyFont="1" applyFill="1" applyBorder="1" applyAlignment="1">
      <alignment horizontal="center"/>
    </xf>
    <xf numFmtId="164" fontId="2" fillId="0" borderId="9" xfId="1" applyNumberFormat="1" applyFont="1" applyBorder="1"/>
    <xf numFmtId="166" fontId="25" fillId="0" borderId="1" xfId="1" applyNumberFormat="1" applyFont="1" applyBorder="1"/>
    <xf numFmtId="1" fontId="5" fillId="2" borderId="4" xfId="0" applyNumberFormat="1" applyFont="1" applyFill="1" applyBorder="1" applyAlignment="1">
      <alignment horizontal="center"/>
    </xf>
    <xf numFmtId="166" fontId="0" fillId="0" borderId="0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64" fontId="31" fillId="0" borderId="0" xfId="1" applyNumberFormat="1" applyFont="1"/>
    <xf numFmtId="164" fontId="32" fillId="0" borderId="0" xfId="1" applyNumberFormat="1" applyFont="1"/>
    <xf numFmtId="164" fontId="32" fillId="0" borderId="1" xfId="1" applyNumberFormat="1" applyFont="1" applyBorder="1"/>
    <xf numFmtId="0" fontId="28" fillId="0" borderId="0" xfId="0" applyFont="1" applyFill="1" applyBorder="1" applyAlignment="1">
      <alignment horizontal="right"/>
    </xf>
    <xf numFmtId="9" fontId="32" fillId="0" borderId="0" xfId="6" applyFont="1"/>
    <xf numFmtId="168" fontId="12" fillId="2" borderId="3" xfId="6" applyNumberFormat="1" applyFont="1" applyFill="1" applyBorder="1"/>
    <xf numFmtId="0" fontId="17" fillId="6" borderId="0" xfId="0" applyFont="1" applyFill="1"/>
    <xf numFmtId="0" fontId="2" fillId="6" borderId="3" xfId="0" applyFont="1" applyFill="1" applyBorder="1"/>
    <xf numFmtId="0" fontId="2" fillId="6" borderId="0" xfId="0" applyFont="1" applyFill="1" applyBorder="1"/>
    <xf numFmtId="0" fontId="0" fillId="6" borderId="3" xfId="0" applyFill="1" applyBorder="1" applyAlignment="1">
      <alignment horizontal="center" wrapText="1"/>
    </xf>
    <xf numFmtId="0" fontId="0" fillId="6" borderId="4" xfId="0" applyFill="1" applyBorder="1"/>
    <xf numFmtId="0" fontId="0" fillId="6" borderId="4" xfId="0" applyFill="1" applyBorder="1" applyAlignment="1">
      <alignment wrapText="1"/>
    </xf>
    <xf numFmtId="0" fontId="0" fillId="6" borderId="3" xfId="0" applyFill="1" applyBorder="1"/>
    <xf numFmtId="0" fontId="0" fillId="6" borderId="2" xfId="0" applyFill="1" applyBorder="1"/>
    <xf numFmtId="0" fontId="0" fillId="6" borderId="5" xfId="0" applyFill="1" applyBorder="1"/>
    <xf numFmtId="0" fontId="2" fillId="6" borderId="4" xfId="0" applyFont="1" applyFill="1" applyBorder="1" applyAlignment="1">
      <alignment wrapText="1"/>
    </xf>
    <xf numFmtId="0" fontId="3" fillId="6" borderId="4" xfId="0" applyFont="1" applyFill="1" applyBorder="1" applyAlignment="1">
      <alignment wrapText="1"/>
    </xf>
    <xf numFmtId="0" fontId="2" fillId="6" borderId="4" xfId="0" applyFont="1" applyFill="1" applyBorder="1"/>
    <xf numFmtId="0" fontId="2" fillId="6" borderId="2" xfId="0" applyFont="1" applyFill="1" applyBorder="1"/>
    <xf numFmtId="0" fontId="3" fillId="6" borderId="5" xfId="0" applyFont="1" applyFill="1" applyBorder="1"/>
    <xf numFmtId="0" fontId="0" fillId="6" borderId="5" xfId="0" applyFill="1" applyBorder="1" applyAlignment="1">
      <alignment wrapText="1"/>
    </xf>
    <xf numFmtId="0" fontId="0" fillId="6" borderId="3" xfId="0" applyFill="1" applyBorder="1" applyAlignment="1">
      <alignment wrapText="1"/>
    </xf>
    <xf numFmtId="0" fontId="2" fillId="6" borderId="3" xfId="0" applyFont="1" applyFill="1" applyBorder="1" applyAlignment="1">
      <alignment wrapText="1"/>
    </xf>
    <xf numFmtId="0" fontId="3" fillId="6" borderId="0" xfId="0" applyFont="1" applyFill="1" applyBorder="1"/>
    <xf numFmtId="0" fontId="0" fillId="6" borderId="0" xfId="0" applyFill="1" applyBorder="1" applyAlignment="1">
      <alignment wrapText="1"/>
    </xf>
    <xf numFmtId="9" fontId="5" fillId="2" borderId="3" xfId="6" applyFont="1" applyFill="1" applyBorder="1" applyAlignment="1">
      <alignment horizontal="center"/>
    </xf>
    <xf numFmtId="43" fontId="2" fillId="0" borderId="0" xfId="1" applyFont="1" applyBorder="1" applyAlignment="1">
      <alignment horizontal="left"/>
    </xf>
    <xf numFmtId="0" fontId="0" fillId="0" borderId="0" xfId="0" applyFill="1" applyAlignment="1">
      <alignment wrapText="1"/>
    </xf>
    <xf numFmtId="0" fontId="34" fillId="0" borderId="0" xfId="0" applyFont="1" applyFill="1" applyAlignment="1">
      <alignment horizontal="left" vertical="top" wrapText="1"/>
    </xf>
    <xf numFmtId="0" fontId="34" fillId="0" borderId="25" xfId="0" applyFont="1" applyFill="1" applyBorder="1" applyAlignment="1">
      <alignment horizontal="left" vertical="top" wrapText="1"/>
    </xf>
    <xf numFmtId="14" fontId="34" fillId="0" borderId="0" xfId="0" applyNumberFormat="1" applyFont="1" applyFill="1" applyAlignment="1">
      <alignment horizontal="center" vertical="top" wrapText="1"/>
    </xf>
    <xf numFmtId="177" fontId="34" fillId="0" borderId="0" xfId="0" applyNumberFormat="1" applyFont="1" applyFill="1" applyAlignment="1">
      <alignment horizontal="center" vertical="top" wrapText="1"/>
    </xf>
    <xf numFmtId="0" fontId="34" fillId="0" borderId="0" xfId="0" applyFont="1" applyFill="1" applyAlignment="1">
      <alignment horizontal="center" vertical="top" wrapText="1"/>
    </xf>
    <xf numFmtId="0" fontId="34" fillId="0" borderId="25" xfId="0" applyFont="1" applyFill="1" applyBorder="1" applyAlignment="1">
      <alignment horizontal="center" vertical="top" wrapText="1"/>
    </xf>
    <xf numFmtId="0" fontId="34" fillId="0" borderId="27" xfId="0" applyFont="1" applyFill="1" applyBorder="1" applyAlignment="1">
      <alignment vertical="top"/>
    </xf>
    <xf numFmtId="0" fontId="35" fillId="0" borderId="26" xfId="0" applyFont="1" applyFill="1" applyBorder="1" applyAlignment="1">
      <alignment horizontal="left" vertical="center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9" fontId="9" fillId="0" borderId="1" xfId="6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9" fillId="0" borderId="0" xfId="0" applyFont="1"/>
    <xf numFmtId="0" fontId="36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10" xfId="0" applyBorder="1" applyAlignment="1"/>
    <xf numFmtId="0" fontId="0" fillId="0" borderId="9" xfId="0" applyBorder="1" applyAlignment="1"/>
    <xf numFmtId="0" fontId="0" fillId="0" borderId="16" xfId="0" applyBorder="1" applyAlignment="1"/>
    <xf numFmtId="0" fontId="0" fillId="0" borderId="3" xfId="0" applyBorder="1" applyAlignment="1">
      <alignment horizontal="center"/>
    </xf>
    <xf numFmtId="0" fontId="0" fillId="0" borderId="3" xfId="0" applyBorder="1"/>
    <xf numFmtId="3" fontId="0" fillId="0" borderId="17" xfId="0" applyNumberFormat="1" applyBorder="1" applyAlignment="1">
      <alignment horizontal="center"/>
    </xf>
    <xf numFmtId="3" fontId="0" fillId="0" borderId="0" xfId="0" applyNumberFormat="1" applyBorder="1" applyAlignment="1">
      <alignment horizontal="center"/>
    </xf>
    <xf numFmtId="0" fontId="0" fillId="0" borderId="0" xfId="0" applyAlignment="1">
      <alignment horizontal="left"/>
    </xf>
    <xf numFmtId="3" fontId="0" fillId="0" borderId="6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3" fontId="0" fillId="0" borderId="15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left"/>
    </xf>
    <xf numFmtId="0" fontId="0" fillId="0" borderId="17" xfId="0" applyBorder="1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6" xfId="0" applyBorder="1" applyAlignment="1">
      <alignment horizontal="left"/>
    </xf>
    <xf numFmtId="3" fontId="0" fillId="0" borderId="0" xfId="0" applyNumberFormat="1" applyBorder="1" applyAlignment="1">
      <alignment horizontal="left"/>
    </xf>
    <xf numFmtId="3" fontId="0" fillId="0" borderId="6" xfId="0" applyNumberFormat="1" applyFill="1" applyBorder="1" applyAlignment="1">
      <alignment horizontal="left"/>
    </xf>
    <xf numFmtId="3" fontId="0" fillId="0" borderId="18" xfId="0" applyNumberFormat="1" applyBorder="1" applyAlignment="1">
      <alignment horizontal="center"/>
    </xf>
    <xf numFmtId="9" fontId="0" fillId="0" borderId="0" xfId="6" applyNumberFormat="1" applyFont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178" fontId="0" fillId="0" borderId="0" xfId="0" applyNumberFormat="1" applyBorder="1" applyAlignment="1">
      <alignment horizontal="center"/>
    </xf>
    <xf numFmtId="165" fontId="0" fillId="0" borderId="0" xfId="0" applyNumberFormat="1" applyAlignment="1">
      <alignment horizontal="right"/>
    </xf>
    <xf numFmtId="0" fontId="0" fillId="8" borderId="10" xfId="0" applyFill="1" applyBorder="1" applyAlignment="1">
      <alignment horizontal="right"/>
    </xf>
    <xf numFmtId="2" fontId="0" fillId="8" borderId="16" xfId="0" applyNumberFormat="1" applyFill="1" applyBorder="1" applyAlignment="1">
      <alignment horizontal="center"/>
    </xf>
    <xf numFmtId="2" fontId="0" fillId="8" borderId="15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6" applyNumberFormat="1" applyFont="1" applyAlignment="1">
      <alignment horizontal="center"/>
    </xf>
    <xf numFmtId="165" fontId="0" fillId="0" borderId="0" xfId="0" applyNumberFormat="1"/>
    <xf numFmtId="1" fontId="0" fillId="0" borderId="0" xfId="0" applyNumberFormat="1"/>
    <xf numFmtId="1" fontId="0" fillId="0" borderId="0" xfId="6" applyNumberFormat="1" applyFont="1" applyAlignment="1">
      <alignment horizontal="center"/>
    </xf>
    <xf numFmtId="168" fontId="9" fillId="0" borderId="3" xfId="6" applyNumberFormat="1" applyFont="1" applyFill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1" fontId="1" fillId="0" borderId="0" xfId="1" applyNumberFormat="1" applyFont="1" applyFill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68" fontId="3" fillId="0" borderId="0" xfId="6" applyNumberFormat="1" applyFont="1" applyBorder="1" applyAlignment="1">
      <alignment horizontal="center"/>
    </xf>
    <xf numFmtId="165" fontId="0" fillId="0" borderId="0" xfId="0" applyNumberFormat="1" applyBorder="1"/>
    <xf numFmtId="2" fontId="0" fillId="0" borderId="3" xfId="0" applyNumberFormat="1" applyBorder="1" applyAlignment="1">
      <alignment horizontal="center"/>
    </xf>
    <xf numFmtId="0" fontId="33" fillId="0" borderId="2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7" fontId="0" fillId="0" borderId="0" xfId="0" applyNumberForma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5" fillId="0" borderId="0" xfId="0" applyFont="1" applyFill="1" applyBorder="1" applyAlignment="1">
      <alignment vertical="center"/>
    </xf>
    <xf numFmtId="17" fontId="2" fillId="0" borderId="0" xfId="0" applyNumberFormat="1" applyFont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17" fontId="0" fillId="0" borderId="14" xfId="0" applyNumberForma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17" fontId="0" fillId="0" borderId="12" xfId="0" applyNumberForma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17" fontId="0" fillId="0" borderId="14" xfId="0" applyNumberFormat="1" applyFill="1" applyBorder="1" applyAlignment="1">
      <alignment horizontal="center" wrapText="1"/>
    </xf>
    <xf numFmtId="0" fontId="1" fillId="0" borderId="17" xfId="0" applyFont="1" applyFill="1" applyBorder="1" applyAlignment="1">
      <alignment wrapText="1"/>
    </xf>
    <xf numFmtId="0" fontId="1" fillId="0" borderId="17" xfId="0" applyFont="1" applyFill="1" applyBorder="1" applyAlignment="1">
      <alignment horizontal="center" wrapText="1"/>
    </xf>
    <xf numFmtId="0" fontId="0" fillId="0" borderId="17" xfId="0" applyFill="1" applyBorder="1" applyAlignment="1">
      <alignment horizontal="center" wrapText="1"/>
    </xf>
    <xf numFmtId="17" fontId="0" fillId="0" borderId="12" xfId="0" applyNumberFormat="1" applyFill="1" applyBorder="1" applyAlignment="1">
      <alignment horizontal="center" wrapText="1"/>
    </xf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1" fillId="0" borderId="15" xfId="0" applyFont="1" applyBorder="1" applyAlignment="1">
      <alignment horizontal="left" vertical="center"/>
    </xf>
    <xf numFmtId="17" fontId="0" fillId="0" borderId="10" xfId="0" applyNumberForma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165" fontId="37" fillId="0" borderId="0" xfId="0" applyNumberFormat="1" applyFont="1" applyAlignment="1">
      <alignment horizontal="center"/>
    </xf>
    <xf numFmtId="165" fontId="1" fillId="0" borderId="0" xfId="0" applyNumberFormat="1" applyFont="1" applyFill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165" fontId="14" fillId="0" borderId="0" xfId="0" applyNumberFormat="1" applyFont="1" applyFill="1" applyBorder="1" applyAlignment="1">
      <alignment horizontal="center"/>
    </xf>
    <xf numFmtId="165" fontId="1" fillId="0" borderId="0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27" fillId="0" borderId="0" xfId="0" applyFont="1"/>
    <xf numFmtId="165" fontId="37" fillId="0" borderId="1" xfId="0" applyNumberFormat="1" applyFont="1" applyBorder="1" applyAlignment="1">
      <alignment horizontal="center"/>
    </xf>
    <xf numFmtId="165" fontId="1" fillId="0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5" fontId="14" fillId="0" borderId="1" xfId="0" applyNumberFormat="1" applyFont="1" applyFill="1" applyBorder="1" applyAlignment="1">
      <alignment horizontal="center"/>
    </xf>
    <xf numFmtId="165" fontId="0" fillId="0" borderId="28" xfId="0" applyNumberFormat="1" applyBorder="1" applyAlignment="1">
      <alignment horizontal="center"/>
    </xf>
    <xf numFmtId="165" fontId="27" fillId="0" borderId="0" xfId="0" applyNumberFormat="1" applyFont="1" applyAlignment="1">
      <alignment horizontal="center"/>
    </xf>
    <xf numFmtId="165" fontId="27" fillId="0" borderId="0" xfId="0" applyNumberFormat="1" applyFont="1" applyFill="1" applyBorder="1" applyAlignment="1">
      <alignment horizontal="center"/>
    </xf>
    <xf numFmtId="165" fontId="27" fillId="0" borderId="0" xfId="0" applyNumberFormat="1" applyFont="1" applyBorder="1" applyAlignment="1">
      <alignment horizontal="center"/>
    </xf>
    <xf numFmtId="0" fontId="36" fillId="0" borderId="0" xfId="0" applyFont="1" applyBorder="1"/>
    <xf numFmtId="9" fontId="25" fillId="0" borderId="0" xfId="6" applyFont="1" applyAlignment="1">
      <alignment horizontal="center"/>
    </xf>
    <xf numFmtId="9" fontId="25" fillId="0" borderId="1" xfId="6" applyFont="1" applyBorder="1" applyAlignment="1">
      <alignment horizontal="center"/>
    </xf>
    <xf numFmtId="9" fontId="25" fillId="5" borderId="0" xfId="6" applyFont="1" applyFill="1" applyAlignment="1">
      <alignment horizontal="center"/>
    </xf>
    <xf numFmtId="9" fontId="25" fillId="0" borderId="0" xfId="0" applyNumberFormat="1" applyFont="1" applyAlignment="1">
      <alignment horizontal="left"/>
    </xf>
    <xf numFmtId="9" fontId="25" fillId="0" borderId="18" xfId="0" applyNumberFormat="1" applyFont="1" applyBorder="1" applyAlignment="1">
      <alignment horizontal="center"/>
    </xf>
    <xf numFmtId="168" fontId="25" fillId="0" borderId="18" xfId="6" applyNumberFormat="1" applyFont="1" applyBorder="1" applyAlignment="1">
      <alignment horizontal="center"/>
    </xf>
    <xf numFmtId="3" fontId="25" fillId="0" borderId="0" xfId="0" applyNumberFormat="1" applyFont="1" applyBorder="1" applyAlignment="1">
      <alignment horizontal="center"/>
    </xf>
    <xf numFmtId="2" fontId="3" fillId="0" borderId="1" xfId="1" applyNumberFormat="1" applyFont="1" applyBorder="1" applyAlignment="1">
      <alignment horizontal="center"/>
    </xf>
    <xf numFmtId="168" fontId="3" fillId="0" borderId="1" xfId="6" applyNumberFormat="1" applyFont="1" applyBorder="1"/>
    <xf numFmtId="1" fontId="1" fillId="0" borderId="1" xfId="1" applyNumberFormat="1" applyFont="1" applyFill="1" applyBorder="1" applyAlignment="1">
      <alignment horizontal="center"/>
    </xf>
    <xf numFmtId="168" fontId="3" fillId="0" borderId="1" xfId="6" applyNumberFormat="1" applyFont="1" applyBorder="1" applyAlignment="1">
      <alignment horizontal="center"/>
    </xf>
    <xf numFmtId="0" fontId="0" fillId="5" borderId="0" xfId="0" applyFill="1" applyBorder="1"/>
    <xf numFmtId="1" fontId="0" fillId="0" borderId="0" xfId="0" applyNumberFormat="1" applyFill="1" applyBorder="1" applyAlignment="1">
      <alignment horizontal="center"/>
    </xf>
    <xf numFmtId="3" fontId="0" fillId="0" borderId="0" xfId="0" applyNumberFormat="1" applyFill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1" fontId="3" fillId="0" borderId="12" xfId="1" applyNumberFormat="1" applyFont="1" applyFill="1" applyBorder="1" applyAlignment="1">
      <alignment horizontal="center"/>
    </xf>
    <xf numFmtId="1" fontId="9" fillId="0" borderId="9" xfId="1" applyNumberFormat="1" applyFont="1" applyFill="1" applyBorder="1" applyAlignment="1">
      <alignment horizontal="center"/>
    </xf>
    <xf numFmtId="9" fontId="5" fillId="2" borderId="0" xfId="6" applyFont="1" applyFill="1" applyBorder="1" applyAlignment="1">
      <alignment horizontal="center"/>
    </xf>
    <xf numFmtId="9" fontId="5" fillId="2" borderId="1" xfId="6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165" fontId="0" fillId="0" borderId="0" xfId="0" applyNumberFormat="1" applyBorder="1" applyAlignment="1">
      <alignment horizontal="center"/>
    </xf>
    <xf numFmtId="4" fontId="25" fillId="0" borderId="0" xfId="1" applyNumberFormat="1" applyFont="1" applyFill="1" applyBorder="1" applyAlignment="1">
      <alignment horizontal="center"/>
    </xf>
    <xf numFmtId="3" fontId="1" fillId="0" borderId="12" xfId="0" applyNumberFormat="1" applyFont="1" applyFill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178" fontId="0" fillId="0" borderId="15" xfId="0" applyNumberFormat="1" applyBorder="1" applyAlignment="1">
      <alignment horizontal="center"/>
    </xf>
    <xf numFmtId="9" fontId="26" fillId="5" borderId="0" xfId="0" applyNumberFormat="1" applyFont="1" applyFill="1" applyBorder="1" applyAlignment="1">
      <alignment horizontal="center"/>
    </xf>
    <xf numFmtId="9" fontId="5" fillId="2" borderId="17" xfId="6" applyFont="1" applyFill="1" applyBorder="1" applyAlignment="1">
      <alignment horizontal="center"/>
    </xf>
    <xf numFmtId="9" fontId="5" fillId="5" borderId="1" xfId="0" applyNumberFormat="1" applyFont="1" applyFill="1" applyBorder="1" applyAlignment="1">
      <alignment horizontal="center"/>
    </xf>
    <xf numFmtId="1" fontId="9" fillId="0" borderId="0" xfId="1" applyNumberFormat="1" applyFont="1" applyFill="1" applyBorder="1" applyAlignment="1">
      <alignment horizontal="center"/>
    </xf>
    <xf numFmtId="168" fontId="0" fillId="0" borderId="0" xfId="6" applyNumberFormat="1" applyFont="1" applyFill="1" applyBorder="1" applyAlignment="1">
      <alignment horizontal="center"/>
    </xf>
    <xf numFmtId="0" fontId="27" fillId="0" borderId="1" xfId="0" applyFont="1" applyBorder="1"/>
    <xf numFmtId="0" fontId="2" fillId="0" borderId="0" xfId="0" applyFont="1" applyAlignment="1">
      <alignment horizontal="left"/>
    </xf>
    <xf numFmtId="165" fontId="37" fillId="0" borderId="0" xfId="0" applyNumberFormat="1" applyFont="1" applyBorder="1" applyAlignment="1">
      <alignment horizontal="center"/>
    </xf>
    <xf numFmtId="165" fontId="27" fillId="0" borderId="29" xfId="0" applyNumberFormat="1" applyFont="1" applyFill="1" applyBorder="1" applyAlignment="1">
      <alignment horizontal="center"/>
    </xf>
    <xf numFmtId="0" fontId="39" fillId="0" borderId="0" xfId="0" applyFont="1" applyFill="1" applyBorder="1"/>
    <xf numFmtId="164" fontId="2" fillId="0" borderId="9" xfId="0" applyNumberFormat="1" applyFont="1" applyBorder="1"/>
    <xf numFmtId="164" fontId="0" fillId="0" borderId="9" xfId="1" applyNumberFormat="1" applyFont="1" applyBorder="1"/>
    <xf numFmtId="0" fontId="40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166" fontId="1" fillId="0" borderId="1" xfId="1" applyNumberFormat="1" applyFont="1" applyBorder="1"/>
    <xf numFmtId="0" fontId="2" fillId="0" borderId="0" xfId="0" applyFont="1" applyFill="1" applyBorder="1" applyAlignment="1">
      <alignment horizontal="left"/>
    </xf>
    <xf numFmtId="9" fontId="12" fillId="0" borderId="0" xfId="6" applyFont="1" applyFill="1" applyBorder="1"/>
    <xf numFmtId="166" fontId="0" fillId="0" borderId="0" xfId="0" applyNumberFormat="1" applyFill="1" applyBorder="1" applyAlignment="1">
      <alignment horizontal="right"/>
    </xf>
    <xf numFmtId="9" fontId="0" fillId="0" borderId="1" xfId="0" applyNumberFormat="1" applyBorder="1" applyAlignment="1">
      <alignment horizontal="center"/>
    </xf>
    <xf numFmtId="3" fontId="1" fillId="0" borderId="0" xfId="0" applyNumberFormat="1" applyFont="1" applyFill="1" applyAlignment="1">
      <alignment horizontal="center"/>
    </xf>
    <xf numFmtId="1" fontId="25" fillId="5" borderId="0" xfId="6" applyNumberFormat="1" applyFont="1" applyFill="1" applyAlignment="1">
      <alignment horizontal="center"/>
    </xf>
    <xf numFmtId="3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left"/>
    </xf>
    <xf numFmtId="9" fontId="2" fillId="0" borderId="0" xfId="0" applyNumberFormat="1" applyFont="1" applyBorder="1" applyAlignment="1">
      <alignment horizontal="center"/>
    </xf>
    <xf numFmtId="9" fontId="1" fillId="0" borderId="0" xfId="6" applyFont="1" applyBorder="1" applyAlignment="1">
      <alignment horizontal="center"/>
    </xf>
    <xf numFmtId="9" fontId="1" fillId="0" borderId="0" xfId="6" quotePrefix="1" applyFont="1" applyBorder="1" applyAlignment="1">
      <alignment horizontal="center"/>
    </xf>
    <xf numFmtId="1" fontId="25" fillId="0" borderId="0" xfId="6" applyNumberFormat="1" applyFont="1" applyFill="1" applyAlignment="1">
      <alignment horizontal="center"/>
    </xf>
    <xf numFmtId="9" fontId="25" fillId="5" borderId="0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right"/>
    </xf>
    <xf numFmtId="166" fontId="0" fillId="0" borderId="1" xfId="6" applyNumberFormat="1" applyFont="1" applyBorder="1"/>
    <xf numFmtId="1" fontId="1" fillId="0" borderId="0" xfId="1" applyNumberFormat="1" applyFont="1" applyBorder="1" applyAlignment="1">
      <alignment horizontal="center"/>
    </xf>
    <xf numFmtId="1" fontId="0" fillId="0" borderId="1" xfId="1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5" fillId="0" borderId="1" xfId="0" applyFont="1" applyFill="1" applyBorder="1"/>
    <xf numFmtId="170" fontId="2" fillId="0" borderId="21" xfId="0" applyNumberFormat="1" applyFont="1" applyFill="1" applyBorder="1" applyProtection="1"/>
    <xf numFmtId="9" fontId="2" fillId="0" borderId="15" xfId="6" applyFont="1" applyFill="1" applyBorder="1" applyAlignment="1" applyProtection="1">
      <alignment horizontal="right"/>
    </xf>
    <xf numFmtId="170" fontId="2" fillId="0" borderId="12" xfId="1" applyNumberFormat="1" applyFont="1" applyFill="1" applyBorder="1" applyAlignment="1" applyProtection="1">
      <alignment horizontal="left"/>
    </xf>
    <xf numFmtId="170" fontId="2" fillId="0" borderId="22" xfId="0" applyNumberFormat="1" applyFont="1" applyFill="1" applyBorder="1" applyProtection="1"/>
    <xf numFmtId="164" fontId="27" fillId="0" borderId="0" xfId="0" applyNumberFormat="1" applyFont="1" applyBorder="1"/>
    <xf numFmtId="0" fontId="1" fillId="0" borderId="12" xfId="0" applyFont="1" applyFill="1" applyBorder="1"/>
    <xf numFmtId="3" fontId="0" fillId="0" borderId="1" xfId="0" applyNumberFormat="1" applyFill="1" applyBorder="1" applyAlignment="1">
      <alignment horizontal="center"/>
    </xf>
    <xf numFmtId="43" fontId="16" fillId="0" borderId="0" xfId="1" applyFont="1" applyFill="1" applyBorder="1"/>
    <xf numFmtId="170" fontId="3" fillId="0" borderId="21" xfId="1" applyNumberFormat="1" applyFont="1" applyFill="1" applyBorder="1" applyProtection="1"/>
    <xf numFmtId="1" fontId="2" fillId="0" borderId="18" xfId="1" applyNumberFormat="1" applyFont="1" applyFill="1" applyBorder="1" applyAlignment="1" applyProtection="1">
      <alignment horizontal="center"/>
    </xf>
    <xf numFmtId="166" fontId="3" fillId="0" borderId="15" xfId="1" applyNumberFormat="1" applyFont="1" applyFill="1" applyBorder="1" applyAlignment="1" applyProtection="1">
      <alignment horizontal="center"/>
    </xf>
    <xf numFmtId="43" fontId="3" fillId="0" borderId="20" xfId="1" applyFont="1" applyFill="1" applyBorder="1" applyAlignment="1" applyProtection="1">
      <alignment horizontal="center"/>
    </xf>
    <xf numFmtId="3" fontId="1" fillId="0" borderId="0" xfId="0" applyNumberFormat="1" applyFont="1" applyBorder="1"/>
    <xf numFmtId="3" fontId="2" fillId="0" borderId="0" xfId="0" applyNumberFormat="1" applyFont="1" applyBorder="1" applyAlignment="1">
      <alignment horizontal="left"/>
    </xf>
    <xf numFmtId="165" fontId="0" fillId="0" borderId="18" xfId="0" applyNumberFormat="1" applyBorder="1"/>
    <xf numFmtId="9" fontId="41" fillId="0" borderId="0" xfId="6" applyFont="1" applyFill="1" applyBorder="1" applyAlignment="1">
      <alignment horizontal="center"/>
    </xf>
    <xf numFmtId="179" fontId="0" fillId="0" borderId="18" xfId="0" applyNumberFormat="1" applyBorder="1"/>
    <xf numFmtId="2" fontId="3" fillId="0" borderId="1" xfId="6" applyNumberFormat="1" applyFont="1" applyBorder="1" applyAlignment="1">
      <alignment horizontal="center"/>
    </xf>
    <xf numFmtId="43" fontId="3" fillId="0" borderId="1" xfId="1" applyFont="1" applyBorder="1"/>
    <xf numFmtId="165" fontId="0" fillId="0" borderId="1" xfId="0" applyNumberFormat="1" applyBorder="1"/>
    <xf numFmtId="165" fontId="0" fillId="0" borderId="15" xfId="0" applyNumberFormat="1" applyBorder="1"/>
    <xf numFmtId="0" fontId="2" fillId="0" borderId="14" xfId="0" applyFont="1" applyBorder="1" applyAlignment="1">
      <alignment horizontal="center"/>
    </xf>
    <xf numFmtId="1" fontId="1" fillId="0" borderId="6" xfId="1" applyNumberFormat="1" applyFont="1" applyFill="1" applyBorder="1" applyAlignment="1">
      <alignment horizontal="center"/>
    </xf>
    <xf numFmtId="168" fontId="3" fillId="0" borderId="18" xfId="6" applyNumberFormat="1" applyFont="1" applyBorder="1" applyAlignment="1">
      <alignment horizontal="center"/>
    </xf>
    <xf numFmtId="1" fontId="1" fillId="0" borderId="12" xfId="1" applyNumberFormat="1" applyFont="1" applyFill="1" applyBorder="1" applyAlignment="1">
      <alignment horizontal="center"/>
    </xf>
    <xf numFmtId="168" fontId="3" fillId="0" borderId="15" xfId="6" applyNumberFormat="1" applyFont="1" applyBorder="1" applyAlignment="1">
      <alignment horizontal="center"/>
    </xf>
    <xf numFmtId="166" fontId="1" fillId="0" borderId="12" xfId="1" applyNumberFormat="1" applyFont="1" applyFill="1" applyBorder="1"/>
    <xf numFmtId="43" fontId="14" fillId="0" borderId="0" xfId="1" applyFont="1" applyBorder="1"/>
    <xf numFmtId="168" fontId="14" fillId="0" borderId="0" xfId="6" applyNumberFormat="1" applyFont="1" applyBorder="1"/>
    <xf numFmtId="0" fontId="14" fillId="0" borderId="0" xfId="0" applyFont="1" applyBorder="1" applyAlignment="1">
      <alignment horizontal="right"/>
    </xf>
    <xf numFmtId="166" fontId="3" fillId="0" borderId="1" xfId="1" applyNumberFormat="1" applyFont="1" applyFill="1" applyBorder="1"/>
    <xf numFmtId="166" fontId="3" fillId="0" borderId="15" xfId="1" applyNumberFormat="1" applyFont="1" applyFill="1" applyBorder="1"/>
    <xf numFmtId="166" fontId="0" fillId="0" borderId="0" xfId="1" applyNumberFormat="1" applyFont="1"/>
    <xf numFmtId="166" fontId="0" fillId="0" borderId="15" xfId="1" applyNumberFormat="1" applyFont="1" applyFill="1" applyBorder="1"/>
    <xf numFmtId="1" fontId="12" fillId="2" borderId="3" xfId="1" applyNumberFormat="1" applyFont="1" applyFill="1" applyBorder="1" applyAlignment="1">
      <alignment horizontal="center"/>
    </xf>
    <xf numFmtId="9" fontId="3" fillId="0" borderId="0" xfId="6" applyFont="1" applyBorder="1" applyAlignment="1">
      <alignment horizontal="center"/>
    </xf>
    <xf numFmtId="10" fontId="25" fillId="0" borderId="0" xfId="6" applyNumberFormat="1" applyFont="1" applyAlignment="1">
      <alignment horizontal="center"/>
    </xf>
    <xf numFmtId="168" fontId="1" fillId="0" borderId="0" xfId="6" applyNumberFormat="1" applyFont="1" applyAlignment="1">
      <alignment horizontal="center"/>
    </xf>
    <xf numFmtId="9" fontId="1" fillId="0" borderId="1" xfId="6" applyFont="1" applyBorder="1" applyAlignment="1">
      <alignment horizontal="center"/>
    </xf>
    <xf numFmtId="9" fontId="25" fillId="5" borderId="0" xfId="6" applyNumberFormat="1" applyFont="1" applyFill="1" applyAlignment="1">
      <alignment horizontal="center"/>
    </xf>
    <xf numFmtId="9" fontId="25" fillId="5" borderId="1" xfId="6" applyNumberFormat="1" applyFont="1" applyFill="1" applyBorder="1" applyAlignment="1">
      <alignment horizontal="center"/>
    </xf>
    <xf numFmtId="9" fontId="0" fillId="0" borderId="0" xfId="6" applyNumberFormat="1" applyFont="1" applyBorder="1" applyAlignment="1">
      <alignment horizontal="center"/>
    </xf>
    <xf numFmtId="9" fontId="1" fillId="0" borderId="0" xfId="6" applyFont="1" applyAlignment="1">
      <alignment horizontal="center"/>
    </xf>
    <xf numFmtId="9" fontId="25" fillId="0" borderId="0" xfId="0" applyNumberFormat="1" applyFont="1" applyBorder="1" applyAlignment="1">
      <alignment horizontal="center"/>
    </xf>
    <xf numFmtId="166" fontId="0" fillId="0" borderId="1" xfId="1" applyNumberFormat="1" applyFont="1" applyFill="1" applyBorder="1"/>
    <xf numFmtId="166" fontId="0" fillId="0" borderId="6" xfId="1" applyNumberFormat="1" applyFont="1" applyFill="1" applyBorder="1"/>
    <xf numFmtId="166" fontId="3" fillId="0" borderId="5" xfId="1" applyNumberFormat="1" applyFont="1" applyFill="1" applyBorder="1"/>
    <xf numFmtId="166" fontId="27" fillId="0" borderId="0" xfId="0" applyNumberFormat="1" applyFont="1"/>
    <xf numFmtId="165" fontId="1" fillId="0" borderId="0" xfId="0" applyNumberFormat="1" applyFont="1" applyFill="1" applyBorder="1" applyAlignment="1">
      <alignment horizontal="right"/>
    </xf>
    <xf numFmtId="9" fontId="1" fillId="0" borderId="0" xfId="6" applyFont="1" applyFill="1" applyBorder="1" applyAlignment="1">
      <alignment horizontal="right"/>
    </xf>
    <xf numFmtId="166" fontId="38" fillId="0" borderId="0" xfId="0" applyNumberFormat="1" applyFont="1" applyFill="1" applyBorder="1"/>
    <xf numFmtId="9" fontId="38" fillId="0" borderId="0" xfId="6" applyFont="1" applyFill="1" applyBorder="1"/>
    <xf numFmtId="166" fontId="5" fillId="0" borderId="0" xfId="1" applyNumberFormat="1" applyFont="1" applyFill="1" applyBorder="1"/>
    <xf numFmtId="0" fontId="0" fillId="0" borderId="0" xfId="6" applyNumberFormat="1" applyFont="1" applyBorder="1" applyAlignment="1">
      <alignment horizontal="center"/>
    </xf>
    <xf numFmtId="166" fontId="16" fillId="0" borderId="0" xfId="0" applyNumberFormat="1" applyFont="1" applyBorder="1"/>
    <xf numFmtId="3" fontId="0" fillId="0" borderId="0" xfId="1" applyNumberFormat="1" applyFont="1" applyBorder="1" applyAlignment="1">
      <alignment horizontal="center"/>
    </xf>
    <xf numFmtId="166" fontId="1" fillId="0" borderId="1" xfId="1" applyNumberFormat="1" applyFont="1" applyFill="1" applyBorder="1"/>
    <xf numFmtId="0" fontId="2" fillId="0" borderId="19" xfId="0" applyFont="1" applyBorder="1" applyAlignment="1">
      <alignment horizontal="center"/>
    </xf>
    <xf numFmtId="164" fontId="0" fillId="0" borderId="18" xfId="0" applyNumberFormat="1" applyBorder="1"/>
    <xf numFmtId="164" fontId="0" fillId="0" borderId="18" xfId="1" applyNumberFormat="1" applyFont="1" applyBorder="1"/>
    <xf numFmtId="166" fontId="0" fillId="0" borderId="18" xfId="1" applyNumberFormat="1" applyFont="1" applyBorder="1"/>
    <xf numFmtId="164" fontId="1" fillId="0" borderId="18" xfId="1" applyNumberFormat="1" applyFont="1" applyBorder="1"/>
    <xf numFmtId="166" fontId="0" fillId="0" borderId="18" xfId="0" applyNumberFormat="1" applyBorder="1"/>
    <xf numFmtId="166" fontId="1" fillId="0" borderId="17" xfId="1" applyNumberFormat="1" applyFont="1" applyFill="1" applyBorder="1"/>
    <xf numFmtId="2" fontId="3" fillId="0" borderId="17" xfId="6" applyNumberFormat="1" applyFont="1" applyBorder="1" applyAlignment="1">
      <alignment horizontal="center"/>
    </xf>
    <xf numFmtId="168" fontId="3" fillId="0" borderId="17" xfId="6" applyNumberFormat="1" applyFont="1" applyBorder="1" applyAlignment="1">
      <alignment horizontal="center"/>
    </xf>
    <xf numFmtId="1" fontId="1" fillId="0" borderId="17" xfId="1" applyNumberFormat="1" applyFont="1" applyFill="1" applyBorder="1" applyAlignment="1">
      <alignment horizontal="center"/>
    </xf>
    <xf numFmtId="3" fontId="0" fillId="0" borderId="1" xfId="0" applyNumberFormat="1" applyBorder="1" applyAlignment="1">
      <alignment horizontal="left"/>
    </xf>
    <xf numFmtId="0" fontId="40" fillId="0" borderId="0" xfId="0" applyFont="1" applyBorder="1"/>
    <xf numFmtId="0" fontId="1" fillId="0" borderId="3" xfId="0" applyFont="1" applyBorder="1" applyAlignment="1">
      <alignment horizontal="center"/>
    </xf>
    <xf numFmtId="2" fontId="0" fillId="0" borderId="0" xfId="0" applyNumberFormat="1" applyBorder="1"/>
    <xf numFmtId="0" fontId="1" fillId="0" borderId="19" xfId="0" applyFont="1" applyBorder="1"/>
    <xf numFmtId="0" fontId="1" fillId="0" borderId="12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3" fontId="1" fillId="0" borderId="9" xfId="0" applyNumberFormat="1" applyFont="1" applyBorder="1" applyAlignment="1">
      <alignment horizontal="center"/>
    </xf>
    <xf numFmtId="3" fontId="0" fillId="0" borderId="16" xfId="0" applyNumberFormat="1" applyBorder="1" applyAlignment="1">
      <alignment horizontal="center"/>
    </xf>
    <xf numFmtId="3" fontId="0" fillId="0" borderId="3" xfId="1" applyNumberFormat="1" applyFont="1" applyBorder="1" applyAlignment="1">
      <alignment horizontal="center"/>
    </xf>
    <xf numFmtId="3" fontId="0" fillId="0" borderId="5" xfId="1" applyNumberFormat="1" applyFont="1" applyBorder="1" applyAlignment="1">
      <alignment horizontal="center"/>
    </xf>
    <xf numFmtId="9" fontId="25" fillId="5" borderId="3" xfId="0" applyNumberFormat="1" applyFont="1" applyFill="1" applyBorder="1" applyAlignment="1">
      <alignment horizontal="center"/>
    </xf>
    <xf numFmtId="9" fontId="25" fillId="5" borderId="5" xfId="0" applyNumberFormat="1" applyFont="1" applyFill="1" applyBorder="1" applyAlignment="1">
      <alignment horizontal="center"/>
    </xf>
    <xf numFmtId="9" fontId="5" fillId="2" borderId="3" xfId="0" applyNumberFormat="1" applyFont="1" applyFill="1" applyBorder="1" applyAlignment="1">
      <alignment horizontal="center"/>
    </xf>
    <xf numFmtId="0" fontId="2" fillId="0" borderId="15" xfId="0" applyFont="1" applyFill="1" applyBorder="1" applyAlignment="1">
      <alignment horizontal="right"/>
    </xf>
    <xf numFmtId="166" fontId="1" fillId="0" borderId="0" xfId="0" applyNumberFormat="1" applyFont="1" applyBorder="1" applyAlignment="1">
      <alignment horizontal="left"/>
    </xf>
    <xf numFmtId="166" fontId="1" fillId="0" borderId="0" xfId="0" applyNumberFormat="1" applyFont="1" applyBorder="1" applyAlignment="1">
      <alignment horizontal="right"/>
    </xf>
    <xf numFmtId="180" fontId="25" fillId="5" borderId="0" xfId="0" applyNumberFormat="1" applyFont="1" applyFill="1" applyBorder="1" applyAlignment="1">
      <alignment horizontal="center"/>
    </xf>
    <xf numFmtId="180" fontId="5" fillId="2" borderId="3" xfId="6" applyNumberFormat="1" applyFont="1" applyFill="1" applyBorder="1" applyAlignment="1">
      <alignment horizontal="center"/>
    </xf>
    <xf numFmtId="170" fontId="9" fillId="0" borderId="1" xfId="1" applyNumberFormat="1" applyFont="1" applyFill="1" applyBorder="1"/>
    <xf numFmtId="0" fontId="9" fillId="0" borderId="0" xfId="0" applyFont="1" applyFill="1" applyBorder="1" applyAlignment="1">
      <alignment horizontal="right"/>
    </xf>
    <xf numFmtId="9" fontId="25" fillId="5" borderId="0" xfId="6" applyFont="1" applyFill="1" applyBorder="1" applyAlignment="1">
      <alignment horizontal="center"/>
    </xf>
    <xf numFmtId="9" fontId="2" fillId="0" borderId="0" xfId="0" applyNumberFormat="1" applyFont="1" applyFill="1" applyBorder="1" applyAlignment="1">
      <alignment horizontal="center"/>
    </xf>
    <xf numFmtId="164" fontId="2" fillId="0" borderId="7" xfId="0" applyNumberFormat="1" applyFont="1" applyBorder="1"/>
    <xf numFmtId="9" fontId="26" fillId="7" borderId="3" xfId="6" applyFont="1" applyFill="1" applyBorder="1" applyAlignment="1">
      <alignment horizontal="center"/>
    </xf>
    <xf numFmtId="168" fontId="1" fillId="0" borderId="0" xfId="6" applyNumberFormat="1" applyFont="1" applyBorder="1" applyAlignment="1">
      <alignment horizontal="left"/>
    </xf>
    <xf numFmtId="9" fontId="25" fillId="0" borderId="6" xfId="0" applyNumberFormat="1" applyFont="1" applyBorder="1" applyAlignment="1">
      <alignment horizontal="center"/>
    </xf>
    <xf numFmtId="165" fontId="0" fillId="0" borderId="12" xfId="0" applyNumberFormat="1" applyBorder="1"/>
    <xf numFmtId="9" fontId="3" fillId="0" borderId="0" xfId="6" applyNumberFormat="1" applyFont="1" applyBorder="1" applyAlignment="1">
      <alignment horizontal="center"/>
    </xf>
    <xf numFmtId="0" fontId="2" fillId="0" borderId="14" xfId="0" applyFont="1" applyBorder="1"/>
    <xf numFmtId="9" fontId="3" fillId="0" borderId="17" xfId="0" applyNumberFormat="1" applyFont="1" applyFill="1" applyBorder="1" applyAlignment="1">
      <alignment horizontal="center"/>
    </xf>
    <xf numFmtId="9" fontId="3" fillId="0" borderId="19" xfId="0" applyNumberFormat="1" applyFont="1" applyFill="1" applyBorder="1" applyAlignment="1">
      <alignment horizontal="center"/>
    </xf>
    <xf numFmtId="9" fontId="1" fillId="0" borderId="18" xfId="6" applyFont="1" applyFill="1" applyBorder="1"/>
    <xf numFmtId="166" fontId="0" fillId="0" borderId="18" xfId="0" applyNumberFormat="1" applyBorder="1" applyAlignment="1">
      <alignment horizontal="right"/>
    </xf>
    <xf numFmtId="166" fontId="0" fillId="0" borderId="15" xfId="0" applyNumberFormat="1" applyBorder="1" applyAlignment="1">
      <alignment horizontal="right"/>
    </xf>
    <xf numFmtId="166" fontId="2" fillId="0" borderId="18" xfId="0" applyNumberFormat="1" applyFont="1" applyBorder="1"/>
    <xf numFmtId="9" fontId="0" fillId="0" borderId="18" xfId="6" applyFont="1" applyBorder="1"/>
    <xf numFmtId="166" fontId="0" fillId="0" borderId="15" xfId="0" applyNumberFormat="1" applyBorder="1"/>
    <xf numFmtId="9" fontId="0" fillId="0" borderId="15" xfId="6" applyFont="1" applyBorder="1"/>
    <xf numFmtId="166" fontId="0" fillId="0" borderId="15" xfId="6" applyNumberFormat="1" applyFont="1" applyBorder="1"/>
    <xf numFmtId="9" fontId="2" fillId="0" borderId="18" xfId="0" applyNumberFormat="1" applyFont="1" applyFill="1" applyBorder="1" applyAlignment="1">
      <alignment horizontal="center"/>
    </xf>
    <xf numFmtId="1" fontId="3" fillId="0" borderId="18" xfId="1" applyNumberFormat="1" applyFont="1" applyFill="1" applyBorder="1" applyAlignment="1">
      <alignment horizontal="center"/>
    </xf>
    <xf numFmtId="1" fontId="1" fillId="0" borderId="18" xfId="1" applyNumberFormat="1" applyFont="1" applyBorder="1" applyAlignment="1">
      <alignment horizontal="center"/>
    </xf>
    <xf numFmtId="1" fontId="0" fillId="0" borderId="15" xfId="1" applyNumberFormat="1" applyFon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43" fontId="0" fillId="0" borderId="18" xfId="1" applyNumberFormat="1" applyFont="1" applyBorder="1"/>
    <xf numFmtId="9" fontId="0" fillId="0" borderId="18" xfId="6" applyFont="1" applyBorder="1" applyAlignment="1">
      <alignment horizontal="center"/>
    </xf>
    <xf numFmtId="9" fontId="0" fillId="0" borderId="19" xfId="6" applyFont="1" applyBorder="1"/>
    <xf numFmtId="3" fontId="0" fillId="0" borderId="18" xfId="1" applyNumberFormat="1" applyFont="1" applyBorder="1" applyAlignment="1">
      <alignment horizontal="center"/>
    </xf>
    <xf numFmtId="0" fontId="25" fillId="0" borderId="0" xfId="0" applyFont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1" fontId="2" fillId="0" borderId="18" xfId="0" applyNumberFormat="1" applyFont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170" fontId="0" fillId="0" borderId="0" xfId="0" applyNumberFormat="1"/>
    <xf numFmtId="3" fontId="1" fillId="0" borderId="2" xfId="1" applyNumberFormat="1" applyFont="1" applyFill="1" applyBorder="1" applyAlignment="1">
      <alignment horizontal="center"/>
    </xf>
    <xf numFmtId="166" fontId="31" fillId="0" borderId="0" xfId="1" applyNumberFormat="1" applyFont="1"/>
    <xf numFmtId="166" fontId="32" fillId="0" borderId="0" xfId="1" applyNumberFormat="1" applyFont="1"/>
    <xf numFmtId="166" fontId="32" fillId="0" borderId="1" xfId="1" applyNumberFormat="1" applyFont="1" applyBorder="1"/>
    <xf numFmtId="166" fontId="28" fillId="0" borderId="1" xfId="0" applyNumberFormat="1" applyFont="1" applyBorder="1"/>
    <xf numFmtId="170" fontId="14" fillId="0" borderId="1" xfId="0" applyNumberFormat="1" applyFont="1" applyBorder="1"/>
    <xf numFmtId="170" fontId="15" fillId="0" borderId="9" xfId="1" applyNumberFormat="1" applyFont="1" applyFill="1" applyBorder="1" applyAlignment="1" applyProtection="1">
      <alignment horizontal="center"/>
    </xf>
    <xf numFmtId="41" fontId="1" fillId="0" borderId="0" xfId="2" applyFont="1" applyFill="1" applyBorder="1"/>
    <xf numFmtId="41" fontId="21" fillId="0" borderId="1" xfId="2" applyFont="1" applyFill="1" applyBorder="1"/>
    <xf numFmtId="166" fontId="1" fillId="0" borderId="0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right"/>
    </xf>
    <xf numFmtId="0" fontId="30" fillId="0" borderId="0" xfId="0" applyFont="1" applyFill="1" applyBorder="1" applyAlignment="1">
      <alignment horizontal="center"/>
    </xf>
    <xf numFmtId="3" fontId="29" fillId="0" borderId="1" xfId="0" applyNumberFormat="1" applyFont="1" applyBorder="1" applyAlignment="1">
      <alignment horizontal="center"/>
    </xf>
    <xf numFmtId="0" fontId="1" fillId="6" borderId="5" xfId="0" applyFont="1" applyFill="1" applyBorder="1"/>
    <xf numFmtId="0" fontId="2" fillId="0" borderId="0" xfId="0" applyFont="1" applyBorder="1" applyAlignment="1">
      <alignment horizontal="center"/>
    </xf>
    <xf numFmtId="1" fontId="0" fillId="0" borderId="3" xfId="0" applyNumberFormat="1" applyFill="1" applyBorder="1" applyAlignment="1">
      <alignment horizontal="center"/>
    </xf>
    <xf numFmtId="0" fontId="0" fillId="0" borderId="19" xfId="0" applyFill="1" applyBorder="1"/>
    <xf numFmtId="0" fontId="1" fillId="0" borderId="18" xfId="0" applyFont="1" applyFill="1" applyBorder="1" applyAlignment="1">
      <alignment horizontal="center"/>
    </xf>
    <xf numFmtId="41" fontId="1" fillId="0" borderId="18" xfId="2" applyFont="1" applyFill="1" applyBorder="1"/>
    <xf numFmtId="166" fontId="9" fillId="0" borderId="16" xfId="0" applyNumberFormat="1" applyFont="1" applyFill="1" applyBorder="1" applyAlignment="1">
      <alignment horizontal="center"/>
    </xf>
    <xf numFmtId="9" fontId="1" fillId="0" borderId="18" xfId="6" applyFont="1" applyFill="1" applyBorder="1" applyAlignment="1">
      <alignment horizontal="right"/>
    </xf>
    <xf numFmtId="0" fontId="0" fillId="0" borderId="15" xfId="0" applyFill="1" applyBorder="1"/>
    <xf numFmtId="1" fontId="18" fillId="0" borderId="9" xfId="0" applyNumberFormat="1" applyFont="1" applyFill="1" applyBorder="1" applyAlignment="1">
      <alignment horizontal="center"/>
    </xf>
    <xf numFmtId="166" fontId="9" fillId="0" borderId="1" xfId="1" applyNumberFormat="1" applyFont="1" applyFill="1" applyBorder="1"/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1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0" fontId="2" fillId="0" borderId="19" xfId="0" applyFont="1" applyFill="1" applyBorder="1" applyAlignment="1">
      <alignment horizontal="center"/>
    </xf>
    <xf numFmtId="3" fontId="0" fillId="0" borderId="18" xfId="0" applyNumberFormat="1" applyFill="1" applyBorder="1" applyAlignment="1">
      <alignment horizontal="center"/>
    </xf>
    <xf numFmtId="3" fontId="0" fillId="0" borderId="15" xfId="0" applyNumberFormat="1" applyFill="1" applyBorder="1" applyAlignment="1">
      <alignment horizontal="center"/>
    </xf>
    <xf numFmtId="164" fontId="0" fillId="0" borderId="1" xfId="1" applyNumberFormat="1" applyFont="1" applyFill="1" applyBorder="1"/>
    <xf numFmtId="170" fontId="9" fillId="0" borderId="18" xfId="0" applyNumberFormat="1" applyFont="1" applyFill="1" applyBorder="1"/>
    <xf numFmtId="166" fontId="2" fillId="0" borderId="15" xfId="0" applyNumberFormat="1" applyFont="1" applyFill="1" applyBorder="1"/>
    <xf numFmtId="0" fontId="40" fillId="0" borderId="17" xfId="0" applyFont="1" applyBorder="1"/>
    <xf numFmtId="0" fontId="27" fillId="0" borderId="0" xfId="0" applyFont="1" applyBorder="1"/>
    <xf numFmtId="9" fontId="27" fillId="0" borderId="0" xfId="6" applyFont="1" applyBorder="1" applyAlignment="1">
      <alignment horizontal="center"/>
    </xf>
    <xf numFmtId="168" fontId="1" fillId="0" borderId="1" xfId="6" applyNumberFormat="1" applyFont="1" applyBorder="1" applyAlignment="1">
      <alignment horizontal="center"/>
    </xf>
    <xf numFmtId="0" fontId="27" fillId="0" borderId="14" xfId="0" applyFont="1" applyBorder="1"/>
    <xf numFmtId="0" fontId="42" fillId="0" borderId="17" xfId="0" applyFont="1" applyBorder="1"/>
    <xf numFmtId="0" fontId="27" fillId="0" borderId="17" xfId="0" applyFont="1" applyBorder="1"/>
    <xf numFmtId="0" fontId="38" fillId="0" borderId="17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27" fillId="0" borderId="6" xfId="0" applyFont="1" applyBorder="1"/>
    <xf numFmtId="3" fontId="27" fillId="0" borderId="0" xfId="0" applyNumberFormat="1" applyFont="1" applyBorder="1" applyAlignment="1">
      <alignment horizontal="center"/>
    </xf>
    <xf numFmtId="3" fontId="27" fillId="0" borderId="18" xfId="0" applyNumberFormat="1" applyFont="1" applyBorder="1" applyAlignment="1">
      <alignment horizontal="center"/>
    </xf>
    <xf numFmtId="9" fontId="27" fillId="0" borderId="18" xfId="6" applyFont="1" applyBorder="1" applyAlignment="1">
      <alignment horizontal="center"/>
    </xf>
    <xf numFmtId="0" fontId="27" fillId="0" borderId="0" xfId="0" applyFont="1" applyBorder="1" applyAlignment="1">
      <alignment horizontal="right"/>
    </xf>
    <xf numFmtId="178" fontId="27" fillId="0" borderId="0" xfId="0" applyNumberFormat="1" applyFont="1" applyBorder="1" applyAlignment="1">
      <alignment horizontal="center"/>
    </xf>
    <xf numFmtId="4" fontId="27" fillId="0" borderId="0" xfId="1" applyNumberFormat="1" applyFont="1" applyBorder="1" applyAlignment="1">
      <alignment horizontal="center"/>
    </xf>
    <xf numFmtId="4" fontId="27" fillId="0" borderId="18" xfId="1" applyNumberFormat="1" applyFont="1" applyBorder="1" applyAlignment="1">
      <alignment horizontal="center"/>
    </xf>
    <xf numFmtId="0" fontId="27" fillId="0" borderId="0" xfId="0" applyFont="1" applyBorder="1" applyAlignment="1">
      <alignment horizontal="left"/>
    </xf>
    <xf numFmtId="9" fontId="27" fillId="0" borderId="0" xfId="0" applyNumberFormat="1" applyFont="1" applyBorder="1" applyAlignment="1">
      <alignment horizontal="center"/>
    </xf>
    <xf numFmtId="3" fontId="27" fillId="0" borderId="1" xfId="0" applyNumberFormat="1" applyFont="1" applyBorder="1" applyAlignment="1">
      <alignment horizontal="center"/>
    </xf>
    <xf numFmtId="3" fontId="27" fillId="0" borderId="15" xfId="0" applyNumberFormat="1" applyFont="1" applyBorder="1" applyAlignment="1">
      <alignment horizontal="center"/>
    </xf>
    <xf numFmtId="0" fontId="43" fillId="0" borderId="12" xfId="0" applyFont="1" applyFill="1" applyBorder="1"/>
    <xf numFmtId="0" fontId="27" fillId="0" borderId="15" xfId="0" applyFont="1" applyBorder="1"/>
    <xf numFmtId="0" fontId="42" fillId="0" borderId="17" xfId="0" applyFont="1" applyFill="1" applyBorder="1"/>
    <xf numFmtId="0" fontId="27" fillId="0" borderId="17" xfId="0" applyFont="1" applyFill="1" applyBorder="1"/>
    <xf numFmtId="0" fontId="27" fillId="0" borderId="17" xfId="0" applyFont="1" applyBorder="1" applyAlignment="1">
      <alignment horizontal="right"/>
    </xf>
    <xf numFmtId="0" fontId="43" fillId="0" borderId="6" xfId="0" applyFont="1" applyFill="1" applyBorder="1"/>
    <xf numFmtId="166" fontId="27" fillId="0" borderId="10" xfId="0" applyNumberFormat="1" applyFont="1" applyBorder="1"/>
    <xf numFmtId="0" fontId="27" fillId="0" borderId="9" xfId="0" applyFont="1" applyBorder="1"/>
    <xf numFmtId="0" fontId="27" fillId="0" borderId="16" xfId="0" applyFont="1" applyBorder="1"/>
    <xf numFmtId="164" fontId="27" fillId="0" borderId="18" xfId="0" applyNumberFormat="1" applyFont="1" applyBorder="1"/>
    <xf numFmtId="166" fontId="27" fillId="0" borderId="10" xfId="1" applyNumberFormat="1" applyFont="1" applyBorder="1" applyAlignment="1">
      <alignment horizontal="center"/>
    </xf>
    <xf numFmtId="0" fontId="27" fillId="0" borderId="9" xfId="0" applyFont="1" applyBorder="1" applyAlignment="1">
      <alignment horizontal="left"/>
    </xf>
    <xf numFmtId="0" fontId="27" fillId="0" borderId="9" xfId="0" applyFont="1" applyBorder="1" applyAlignment="1">
      <alignment horizontal="right"/>
    </xf>
    <xf numFmtId="164" fontId="27" fillId="0" borderId="0" xfId="1" applyNumberFormat="1" applyFont="1" applyBorder="1"/>
    <xf numFmtId="164" fontId="27" fillId="0" borderId="18" xfId="1" applyNumberFormat="1" applyFont="1" applyBorder="1"/>
    <xf numFmtId="166" fontId="27" fillId="0" borderId="0" xfId="1" applyNumberFormat="1" applyFont="1" applyBorder="1" applyAlignment="1">
      <alignment horizontal="center"/>
    </xf>
    <xf numFmtId="166" fontId="27" fillId="0" borderId="0" xfId="1" applyNumberFormat="1" applyFont="1" applyBorder="1"/>
    <xf numFmtId="166" fontId="27" fillId="0" borderId="18" xfId="1" applyNumberFormat="1" applyFont="1" applyBorder="1"/>
    <xf numFmtId="0" fontId="44" fillId="0" borderId="0" xfId="0" applyFont="1" applyFill="1" applyBorder="1"/>
    <xf numFmtId="0" fontId="44" fillId="0" borderId="0" xfId="0" applyFont="1" applyBorder="1"/>
    <xf numFmtId="166" fontId="27" fillId="0" borderId="0" xfId="1" applyNumberFormat="1" applyFont="1" applyBorder="1" applyAlignment="1">
      <alignment horizontal="right"/>
    </xf>
    <xf numFmtId="0" fontId="27" fillId="0" borderId="0" xfId="0" applyFont="1" applyFill="1" applyBorder="1" applyAlignment="1">
      <alignment horizontal="right"/>
    </xf>
    <xf numFmtId="1" fontId="38" fillId="0" borderId="0" xfId="0" applyNumberFormat="1" applyFont="1" applyBorder="1" applyAlignment="1">
      <alignment horizontal="left"/>
    </xf>
    <xf numFmtId="166" fontId="27" fillId="0" borderId="0" xfId="0" applyNumberFormat="1" applyFont="1" applyBorder="1"/>
    <xf numFmtId="166" fontId="27" fillId="0" borderId="18" xfId="0" applyNumberFormat="1" applyFont="1" applyBorder="1"/>
    <xf numFmtId="0" fontId="27" fillId="0" borderId="12" xfId="0" applyFont="1" applyBorder="1"/>
    <xf numFmtId="166" fontId="0" fillId="0" borderId="15" xfId="1" applyNumberFormat="1" applyFont="1" applyBorder="1"/>
    <xf numFmtId="172" fontId="0" fillId="0" borderId="15" xfId="0" applyNumberFormat="1" applyBorder="1"/>
    <xf numFmtId="166" fontId="2" fillId="0" borderId="21" xfId="1" applyNumberFormat="1" applyFont="1" applyBorder="1"/>
    <xf numFmtId="164" fontId="0" fillId="0" borderId="15" xfId="1" applyNumberFormat="1" applyFont="1" applyBorder="1"/>
    <xf numFmtId="164" fontId="2" fillId="0" borderId="18" xfId="1" applyNumberFormat="1" applyFont="1" applyBorder="1"/>
    <xf numFmtId="0" fontId="38" fillId="0" borderId="0" xfId="0" applyFont="1" applyFill="1" applyBorder="1"/>
    <xf numFmtId="0" fontId="38" fillId="0" borderId="0" xfId="0" applyFont="1" applyFill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Border="1" applyAlignment="1">
      <alignment horizontal="center"/>
    </xf>
    <xf numFmtId="0" fontId="43" fillId="0" borderId="0" xfId="0" applyFont="1"/>
    <xf numFmtId="0" fontId="42" fillId="0" borderId="0" xfId="0" applyFont="1"/>
    <xf numFmtId="0" fontId="42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17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178" fontId="27" fillId="0" borderId="0" xfId="0" applyNumberFormat="1" applyFont="1" applyAlignment="1">
      <alignment horizontal="center"/>
    </xf>
    <xf numFmtId="3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right"/>
    </xf>
    <xf numFmtId="17" fontId="45" fillId="0" borderId="0" xfId="0" applyNumberFormat="1" applyFont="1" applyAlignment="1">
      <alignment horizontal="center"/>
    </xf>
    <xf numFmtId="0" fontId="46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2" fillId="0" borderId="17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left"/>
    </xf>
    <xf numFmtId="167" fontId="2" fillId="0" borderId="1" xfId="0" applyNumberFormat="1" applyFont="1" applyBorder="1"/>
    <xf numFmtId="1" fontId="1" fillId="0" borderId="18" xfId="0" applyNumberFormat="1" applyFont="1" applyBorder="1" applyAlignment="1">
      <alignment horizontal="center"/>
    </xf>
    <xf numFmtId="9" fontId="27" fillId="0" borderId="0" xfId="6" applyFont="1" applyBorder="1"/>
    <xf numFmtId="1" fontId="27" fillId="0" borderId="0" xfId="0" applyNumberFormat="1" applyFont="1" applyBorder="1" applyAlignment="1">
      <alignment horizontal="center"/>
    </xf>
    <xf numFmtId="1" fontId="27" fillId="0" borderId="0" xfId="6" applyNumberFormat="1" applyFont="1" applyBorder="1" applyAlignment="1">
      <alignment horizontal="center"/>
    </xf>
    <xf numFmtId="43" fontId="27" fillId="0" borderId="0" xfId="0" applyNumberFormat="1" applyFont="1" applyBorder="1"/>
    <xf numFmtId="1" fontId="27" fillId="0" borderId="0" xfId="0" applyNumberFormat="1" applyFont="1" applyFill="1" applyBorder="1" applyAlignment="1">
      <alignment horizontal="center"/>
    </xf>
    <xf numFmtId="1" fontId="27" fillId="0" borderId="1" xfId="0" applyNumberFormat="1" applyFont="1" applyFill="1" applyBorder="1" applyAlignment="1">
      <alignment horizontal="center"/>
    </xf>
    <xf numFmtId="1" fontId="27" fillId="0" borderId="1" xfId="0" applyNumberFormat="1" applyFont="1" applyBorder="1" applyAlignment="1">
      <alignment horizontal="center"/>
    </xf>
    <xf numFmtId="9" fontId="27" fillId="0" borderId="1" xfId="6" applyFont="1" applyBorder="1"/>
    <xf numFmtId="1" fontId="27" fillId="0" borderId="1" xfId="6" applyNumberFormat="1" applyFont="1" applyBorder="1" applyAlignment="1">
      <alignment horizontal="center"/>
    </xf>
    <xf numFmtId="1" fontId="38" fillId="0" borderId="0" xfId="6" applyNumberFormat="1" applyFont="1" applyBorder="1" applyAlignment="1">
      <alignment horizontal="center"/>
    </xf>
    <xf numFmtId="1" fontId="36" fillId="0" borderId="1" xfId="0" applyNumberFormat="1" applyFont="1" applyBorder="1" applyAlignment="1">
      <alignment horizontal="center"/>
    </xf>
    <xf numFmtId="0" fontId="40" fillId="0" borderId="14" xfId="0" applyFont="1" applyBorder="1"/>
    <xf numFmtId="0" fontId="40" fillId="0" borderId="6" xfId="0" applyFont="1" applyBorder="1"/>
    <xf numFmtId="0" fontId="40" fillId="0" borderId="12" xfId="0" applyFont="1" applyBorder="1"/>
    <xf numFmtId="0" fontId="40" fillId="0" borderId="0" xfId="0" applyFont="1"/>
    <xf numFmtId="0" fontId="36" fillId="0" borderId="0" xfId="0" applyFont="1"/>
    <xf numFmtId="0" fontId="40" fillId="0" borderId="0" xfId="0" applyFont="1" applyBorder="1" applyAlignment="1"/>
    <xf numFmtId="0" fontId="40" fillId="0" borderId="0" xfId="0" applyFont="1" applyBorder="1" applyAlignment="1">
      <alignment horizontal="center"/>
    </xf>
    <xf numFmtId="0" fontId="40" fillId="0" borderId="0" xfId="0" applyFont="1" applyBorder="1" applyAlignment="1">
      <alignment horizontal="center"/>
    </xf>
    <xf numFmtId="0" fontId="36" fillId="0" borderId="14" xfId="0" applyFont="1" applyBorder="1"/>
    <xf numFmtId="0" fontId="36" fillId="0" borderId="19" xfId="0" applyFont="1" applyBorder="1"/>
    <xf numFmtId="0" fontId="40" fillId="0" borderId="17" xfId="0" applyFont="1" applyBorder="1" applyAlignment="1">
      <alignment horizontal="center"/>
    </xf>
    <xf numFmtId="0" fontId="40" fillId="0" borderId="19" xfId="0" applyFont="1" applyBorder="1" applyAlignment="1">
      <alignment horizontal="center"/>
    </xf>
    <xf numFmtId="0" fontId="40" fillId="0" borderId="1" xfId="0" applyFont="1" applyBorder="1"/>
    <xf numFmtId="0" fontId="36" fillId="0" borderId="15" xfId="0" applyFont="1" applyBorder="1"/>
    <xf numFmtId="0" fontId="36" fillId="0" borderId="1" xfId="0" applyFont="1" applyBorder="1"/>
    <xf numFmtId="1" fontId="36" fillId="0" borderId="0" xfId="1" applyNumberFormat="1" applyFont="1" applyBorder="1" applyAlignment="1">
      <alignment horizontal="center"/>
    </xf>
    <xf numFmtId="1" fontId="36" fillId="0" borderId="0" xfId="0" applyNumberFormat="1" applyFont="1" applyBorder="1" applyAlignment="1">
      <alignment horizontal="center"/>
    </xf>
    <xf numFmtId="1" fontId="36" fillId="5" borderId="0" xfId="0" applyNumberFormat="1" applyFont="1" applyFill="1" applyBorder="1" applyAlignment="1">
      <alignment horizontal="center"/>
    </xf>
    <xf numFmtId="1" fontId="36" fillId="5" borderId="18" xfId="0" applyNumberFormat="1" applyFont="1" applyFill="1" applyBorder="1" applyAlignment="1">
      <alignment horizontal="center"/>
    </xf>
    <xf numFmtId="0" fontId="36" fillId="0" borderId="18" xfId="0" applyFont="1" applyBorder="1"/>
    <xf numFmtId="1" fontId="36" fillId="0" borderId="18" xfId="1" applyNumberFormat="1" applyFont="1" applyBorder="1" applyAlignment="1">
      <alignment horizontal="center"/>
    </xf>
    <xf numFmtId="1" fontId="36" fillId="0" borderId="7" xfId="0" applyNumberFormat="1" applyFont="1" applyBorder="1" applyAlignment="1">
      <alignment horizontal="center"/>
    </xf>
    <xf numFmtId="1" fontId="36" fillId="0" borderId="21" xfId="0" applyNumberFormat="1" applyFont="1" applyBorder="1" applyAlignment="1">
      <alignment horizontal="center"/>
    </xf>
    <xf numFmtId="0" fontId="36" fillId="0" borderId="6" xfId="0" applyFont="1" applyBorder="1" applyAlignment="1">
      <alignment horizontal="center"/>
    </xf>
    <xf numFmtId="0" fontId="40" fillId="0" borderId="0" xfId="0" applyFont="1" applyBorder="1" applyAlignment="1">
      <alignment horizontal="left"/>
    </xf>
    <xf numFmtId="0" fontId="36" fillId="0" borderId="18" xfId="0" applyFont="1" applyBorder="1" applyAlignment="1">
      <alignment horizontal="center"/>
    </xf>
    <xf numFmtId="1" fontId="36" fillId="0" borderId="0" xfId="0" applyNumberFormat="1" applyFont="1" applyBorder="1"/>
    <xf numFmtId="1" fontId="36" fillId="0" borderId="18" xfId="0" applyNumberFormat="1" applyFont="1" applyBorder="1"/>
    <xf numFmtId="0" fontId="36" fillId="0" borderId="18" xfId="0" applyFont="1" applyBorder="1" applyAlignment="1">
      <alignment horizontal="left"/>
    </xf>
    <xf numFmtId="1" fontId="36" fillId="5" borderId="0" xfId="1" applyNumberFormat="1" applyFont="1" applyFill="1" applyBorder="1" applyAlignment="1">
      <alignment horizontal="center"/>
    </xf>
    <xf numFmtId="1" fontId="36" fillId="5" borderId="18" xfId="1" applyNumberFormat="1" applyFont="1" applyFill="1" applyBorder="1" applyAlignment="1">
      <alignment horizontal="center"/>
    </xf>
    <xf numFmtId="1" fontId="36" fillId="0" borderId="9" xfId="1" applyNumberFormat="1" applyFont="1" applyBorder="1" applyAlignment="1">
      <alignment horizontal="center"/>
    </xf>
    <xf numFmtId="1" fontId="36" fillId="0" borderId="16" xfId="1" applyNumberFormat="1" applyFont="1" applyBorder="1" applyAlignment="1">
      <alignment horizontal="center"/>
    </xf>
    <xf numFmtId="0" fontId="36" fillId="0" borderId="0" xfId="0" applyFont="1" applyBorder="1" applyAlignment="1">
      <alignment horizontal="center"/>
    </xf>
    <xf numFmtId="1" fontId="36" fillId="0" borderId="8" xfId="1" applyNumberFormat="1" applyFont="1" applyBorder="1" applyAlignment="1">
      <alignment horizontal="center"/>
    </xf>
    <xf numFmtId="1" fontId="36" fillId="0" borderId="20" xfId="1" applyNumberFormat="1" applyFont="1" applyBorder="1" applyAlignment="1">
      <alignment horizontal="center"/>
    </xf>
    <xf numFmtId="1" fontId="36" fillId="0" borderId="7" xfId="1" applyNumberFormat="1" applyFont="1" applyBorder="1" applyAlignment="1">
      <alignment horizontal="center"/>
    </xf>
    <xf numFmtId="1" fontId="36" fillId="0" borderId="21" xfId="1" applyNumberFormat="1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40" fillId="0" borderId="1" xfId="0" applyFont="1" applyBorder="1" applyAlignment="1">
      <alignment horizontal="left"/>
    </xf>
    <xf numFmtId="0" fontId="36" fillId="0" borderId="15" xfId="0" applyFont="1" applyBorder="1" applyAlignment="1">
      <alignment horizontal="center"/>
    </xf>
    <xf numFmtId="166" fontId="36" fillId="0" borderId="9" xfId="1" applyNumberFormat="1" applyFont="1" applyBorder="1" applyAlignment="1">
      <alignment horizontal="center"/>
    </xf>
    <xf numFmtId="0" fontId="40" fillId="0" borderId="17" xfId="0" applyFont="1" applyBorder="1" applyAlignment="1">
      <alignment horizontal="left"/>
    </xf>
    <xf numFmtId="0" fontId="36" fillId="0" borderId="19" xfId="0" applyFont="1" applyBorder="1" applyAlignment="1">
      <alignment horizontal="center"/>
    </xf>
    <xf numFmtId="0" fontId="40" fillId="0" borderId="14" xfId="0" applyFont="1" applyBorder="1" applyAlignment="1">
      <alignment horizontal="center"/>
    </xf>
    <xf numFmtId="1" fontId="36" fillId="0" borderId="6" xfId="1" applyNumberFormat="1" applyFont="1" applyBorder="1" applyAlignment="1">
      <alignment horizontal="center"/>
    </xf>
    <xf numFmtId="0" fontId="36" fillId="0" borderId="0" xfId="0" applyFont="1" applyBorder="1" applyAlignment="1">
      <alignment horizontal="left"/>
    </xf>
    <xf numFmtId="1" fontId="36" fillId="0" borderId="12" xfId="1" applyNumberFormat="1" applyFont="1" applyBorder="1" applyAlignment="1">
      <alignment horizontal="center"/>
    </xf>
    <xf numFmtId="1" fontId="36" fillId="0" borderId="1" xfId="1" applyNumberFormat="1" applyFont="1" applyBorder="1" applyAlignment="1">
      <alignment horizontal="center"/>
    </xf>
    <xf numFmtId="1" fontId="36" fillId="0" borderId="15" xfId="1" applyNumberFormat="1" applyFont="1" applyBorder="1" applyAlignment="1">
      <alignment horizontal="center"/>
    </xf>
    <xf numFmtId="1" fontId="36" fillId="0" borderId="10" xfId="1" applyNumberFormat="1" applyFont="1" applyBorder="1" applyAlignment="1">
      <alignment horizontal="center"/>
    </xf>
    <xf numFmtId="164" fontId="36" fillId="0" borderId="9" xfId="1" applyNumberFormat="1" applyFont="1" applyBorder="1" applyAlignment="1">
      <alignment horizontal="center"/>
    </xf>
    <xf numFmtId="1" fontId="36" fillId="0" borderId="6" xfId="0" applyNumberFormat="1" applyFont="1" applyBorder="1" applyAlignment="1">
      <alignment horizontal="center"/>
    </xf>
    <xf numFmtId="2" fontId="36" fillId="0" borderId="12" xfId="1" applyNumberFormat="1" applyFont="1" applyBorder="1" applyAlignment="1">
      <alignment horizontal="center"/>
    </xf>
    <xf numFmtId="2" fontId="36" fillId="0" borderId="1" xfId="1" applyNumberFormat="1" applyFont="1" applyBorder="1" applyAlignment="1">
      <alignment horizontal="center"/>
    </xf>
    <xf numFmtId="2" fontId="36" fillId="0" borderId="1" xfId="1" applyNumberFormat="1" applyFont="1" applyFill="1" applyBorder="1" applyAlignment="1">
      <alignment horizontal="center"/>
    </xf>
    <xf numFmtId="2" fontId="36" fillId="0" borderId="15" xfId="1" applyNumberFormat="1" applyFont="1" applyBorder="1" applyAlignment="1">
      <alignment horizontal="center"/>
    </xf>
    <xf numFmtId="0" fontId="40" fillId="0" borderId="15" xfId="0" applyFont="1" applyBorder="1"/>
    <xf numFmtId="166" fontId="36" fillId="0" borderId="12" xfId="1" applyNumberFormat="1" applyFont="1" applyBorder="1" applyAlignment="1">
      <alignment horizontal="center"/>
    </xf>
    <xf numFmtId="166" fontId="36" fillId="0" borderId="1" xfId="1" applyNumberFormat="1" applyFont="1" applyBorder="1" applyAlignment="1">
      <alignment horizontal="center"/>
    </xf>
    <xf numFmtId="166" fontId="36" fillId="0" borderId="15" xfId="1" applyNumberFormat="1" applyFont="1" applyBorder="1" applyAlignment="1">
      <alignment horizontal="center"/>
    </xf>
    <xf numFmtId="164" fontId="36" fillId="0" borderId="1" xfId="1" applyNumberFormat="1" applyFont="1" applyBorder="1" applyAlignment="1">
      <alignment horizontal="center"/>
    </xf>
    <xf numFmtId="3" fontId="36" fillId="0" borderId="0" xfId="0" applyNumberFormat="1" applyFont="1" applyBorder="1"/>
    <xf numFmtId="3" fontId="36" fillId="0" borderId="0" xfId="0" applyNumberFormat="1" applyFont="1"/>
    <xf numFmtId="164" fontId="36" fillId="0" borderId="0" xfId="1" applyNumberFormat="1" applyFont="1" applyBorder="1" applyAlignment="1">
      <alignment horizontal="center"/>
    </xf>
    <xf numFmtId="165" fontId="36" fillId="0" borderId="0" xfId="0" applyNumberFormat="1" applyFont="1" applyAlignment="1">
      <alignment horizontal="center"/>
    </xf>
    <xf numFmtId="164" fontId="40" fillId="0" borderId="0" xfId="1" applyNumberFormat="1" applyFont="1" applyBorder="1" applyAlignment="1">
      <alignment horizontal="center"/>
    </xf>
    <xf numFmtId="164" fontId="36" fillId="0" borderId="0" xfId="1" quotePrefix="1" applyNumberFormat="1" applyFont="1" applyBorder="1" applyAlignment="1">
      <alignment horizontal="center"/>
    </xf>
    <xf numFmtId="43" fontId="36" fillId="0" borderId="0" xfId="1" applyNumberFormat="1" applyFont="1" applyBorder="1" applyAlignment="1">
      <alignment horizontal="center"/>
    </xf>
    <xf numFmtId="0" fontId="36" fillId="0" borderId="17" xfId="0" applyFont="1" applyBorder="1"/>
    <xf numFmtId="164" fontId="36" fillId="0" borderId="17" xfId="1" applyNumberFormat="1" applyFont="1" applyBorder="1" applyAlignment="1">
      <alignment horizontal="center"/>
    </xf>
    <xf numFmtId="164" fontId="36" fillId="0" borderId="19" xfId="1" applyNumberFormat="1" applyFont="1" applyBorder="1" applyAlignment="1">
      <alignment horizontal="center"/>
    </xf>
    <xf numFmtId="165" fontId="36" fillId="0" borderId="0" xfId="0" applyNumberFormat="1" applyFont="1" applyBorder="1" applyAlignment="1">
      <alignment horizontal="center"/>
    </xf>
    <xf numFmtId="2" fontId="36" fillId="0" borderId="0" xfId="0" applyNumberFormat="1" applyFont="1" applyBorder="1" applyAlignment="1">
      <alignment horizontal="center"/>
    </xf>
    <xf numFmtId="2" fontId="36" fillId="0" borderId="0" xfId="0" applyNumberFormat="1" applyFont="1" applyFill="1" applyBorder="1" applyAlignment="1">
      <alignment horizontal="center"/>
    </xf>
    <xf numFmtId="164" fontId="40" fillId="0" borderId="1" xfId="1" applyNumberFormat="1" applyFont="1" applyBorder="1" applyAlignment="1">
      <alignment horizontal="center"/>
    </xf>
    <xf numFmtId="0" fontId="40" fillId="0" borderId="10" xfId="0" applyFont="1" applyBorder="1" applyAlignment="1">
      <alignment horizontal="center"/>
    </xf>
    <xf numFmtId="0" fontId="40" fillId="0" borderId="9" xfId="0" applyFont="1" applyBorder="1" applyAlignment="1">
      <alignment horizontal="center"/>
    </xf>
    <xf numFmtId="0" fontId="40" fillId="0" borderId="16" xfId="0" applyFont="1" applyBorder="1" applyAlignment="1">
      <alignment horizontal="center"/>
    </xf>
    <xf numFmtId="0" fontId="47" fillId="0" borderId="0" xfId="0" applyFont="1" applyFill="1" applyBorder="1"/>
    <xf numFmtId="166" fontId="47" fillId="0" borderId="0" xfId="1" applyNumberFormat="1" applyFont="1" applyFill="1" applyBorder="1"/>
  </cellXfs>
  <cellStyles count="7">
    <cellStyle name="Comma" xfId="1" builtinId="3"/>
    <cellStyle name="Comma [0] 2" xfId="2"/>
    <cellStyle name="Comma 2" xfId="3"/>
    <cellStyle name="Good" xfId="4" builtinId="26"/>
    <cellStyle name="Normal" xfId="0" builtinId="0"/>
    <cellStyle name="Normal 2" xfId="5"/>
    <cellStyle name="Percent" xfId="6" builtinId="5"/>
  </cellStyles>
  <dxfs count="0"/>
  <tableStyles count="0" defaultTableStyle="TableStyleMedium2" defaultPivotStyle="PivotStyleLight16"/>
  <colors>
    <mruColors>
      <color rgb="FFFFFF99"/>
      <color rgb="FF0066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2</xdr:col>
      <xdr:colOff>190500</xdr:colOff>
      <xdr:row>8</xdr:row>
      <xdr:rowOff>0</xdr:rowOff>
    </xdr:to>
    <xdr:sp macro="" textlink="">
      <xdr:nvSpPr>
        <xdr:cNvPr id="906987" name="Line 1"/>
        <xdr:cNvSpPr>
          <a:spLocks noChangeShapeType="1"/>
        </xdr:cNvSpPr>
      </xdr:nvSpPr>
      <xdr:spPr bwMode="auto">
        <a:xfrm>
          <a:off x="1800225" y="1704975"/>
          <a:ext cx="190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12</xdr:row>
      <xdr:rowOff>95250</xdr:rowOff>
    </xdr:from>
    <xdr:to>
      <xdr:col>3</xdr:col>
      <xdr:colOff>476250</xdr:colOff>
      <xdr:row>12</xdr:row>
      <xdr:rowOff>95250</xdr:rowOff>
    </xdr:to>
    <xdr:sp macro="" textlink="">
      <xdr:nvSpPr>
        <xdr:cNvPr id="906988" name="Line 2"/>
        <xdr:cNvSpPr>
          <a:spLocks noChangeShapeType="1"/>
        </xdr:cNvSpPr>
      </xdr:nvSpPr>
      <xdr:spPr bwMode="auto">
        <a:xfrm>
          <a:off x="1800225" y="2609850"/>
          <a:ext cx="666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19050</xdr:colOff>
      <xdr:row>15</xdr:row>
      <xdr:rowOff>95250</xdr:rowOff>
    </xdr:from>
    <xdr:to>
      <xdr:col>3</xdr:col>
      <xdr:colOff>495300</xdr:colOff>
      <xdr:row>15</xdr:row>
      <xdr:rowOff>95250</xdr:rowOff>
    </xdr:to>
    <xdr:sp macro="" textlink="">
      <xdr:nvSpPr>
        <xdr:cNvPr id="906989" name="Line 3"/>
        <xdr:cNvSpPr>
          <a:spLocks noChangeShapeType="1"/>
        </xdr:cNvSpPr>
      </xdr:nvSpPr>
      <xdr:spPr bwMode="auto">
        <a:xfrm>
          <a:off x="1819275" y="3095625"/>
          <a:ext cx="666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504825</xdr:colOff>
      <xdr:row>11</xdr:row>
      <xdr:rowOff>266700</xdr:rowOff>
    </xdr:from>
    <xdr:to>
      <xdr:col>3</xdr:col>
      <xdr:colOff>504825</xdr:colOff>
      <xdr:row>15</xdr:row>
      <xdr:rowOff>95250</xdr:rowOff>
    </xdr:to>
    <xdr:sp macro="" textlink="">
      <xdr:nvSpPr>
        <xdr:cNvPr id="906990" name="Line 4"/>
        <xdr:cNvSpPr>
          <a:spLocks noChangeShapeType="1"/>
        </xdr:cNvSpPr>
      </xdr:nvSpPr>
      <xdr:spPr bwMode="auto">
        <a:xfrm flipV="1">
          <a:off x="2495550" y="2457450"/>
          <a:ext cx="0" cy="638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495300</xdr:colOff>
      <xdr:row>11</xdr:row>
      <xdr:rowOff>266700</xdr:rowOff>
    </xdr:from>
    <xdr:to>
      <xdr:col>4</xdr:col>
      <xdr:colOff>123825</xdr:colOff>
      <xdr:row>11</xdr:row>
      <xdr:rowOff>266700</xdr:rowOff>
    </xdr:to>
    <xdr:sp macro="" textlink="">
      <xdr:nvSpPr>
        <xdr:cNvPr id="906991" name="Line 5"/>
        <xdr:cNvSpPr>
          <a:spLocks noChangeShapeType="1"/>
        </xdr:cNvSpPr>
      </xdr:nvSpPr>
      <xdr:spPr bwMode="auto">
        <a:xfrm>
          <a:off x="2486025" y="2457450"/>
          <a:ext cx="3333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19050</xdr:colOff>
      <xdr:row>26</xdr:row>
      <xdr:rowOff>0</xdr:rowOff>
    </xdr:from>
    <xdr:to>
      <xdr:col>6</xdr:col>
      <xdr:colOff>171450</xdr:colOff>
      <xdr:row>26</xdr:row>
      <xdr:rowOff>0</xdr:rowOff>
    </xdr:to>
    <xdr:sp macro="" textlink="">
      <xdr:nvSpPr>
        <xdr:cNvPr id="906992" name="Line 6"/>
        <xdr:cNvSpPr>
          <a:spLocks noChangeShapeType="1"/>
        </xdr:cNvSpPr>
      </xdr:nvSpPr>
      <xdr:spPr bwMode="auto">
        <a:xfrm>
          <a:off x="1819275" y="5105400"/>
          <a:ext cx="2162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28575</xdr:colOff>
      <xdr:row>20</xdr:row>
      <xdr:rowOff>152400</xdr:rowOff>
    </xdr:from>
    <xdr:to>
      <xdr:col>6</xdr:col>
      <xdr:colOff>171450</xdr:colOff>
      <xdr:row>21</xdr:row>
      <xdr:rowOff>0</xdr:rowOff>
    </xdr:to>
    <xdr:sp macro="" textlink="">
      <xdr:nvSpPr>
        <xdr:cNvPr id="906993" name="Line 7"/>
        <xdr:cNvSpPr>
          <a:spLocks noChangeShapeType="1"/>
        </xdr:cNvSpPr>
      </xdr:nvSpPr>
      <xdr:spPr bwMode="auto">
        <a:xfrm flipV="1">
          <a:off x="1828800" y="4124325"/>
          <a:ext cx="21526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19</xdr:row>
      <xdr:rowOff>95250</xdr:rowOff>
    </xdr:from>
    <xdr:to>
      <xdr:col>10</xdr:col>
      <xdr:colOff>219075</xdr:colOff>
      <xdr:row>19</xdr:row>
      <xdr:rowOff>95250</xdr:rowOff>
    </xdr:to>
    <xdr:sp macro="" textlink="">
      <xdr:nvSpPr>
        <xdr:cNvPr id="906994" name="Line 8"/>
        <xdr:cNvSpPr>
          <a:spLocks noChangeShapeType="1"/>
        </xdr:cNvSpPr>
      </xdr:nvSpPr>
      <xdr:spPr bwMode="auto">
        <a:xfrm>
          <a:off x="6486525" y="3743325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571500</xdr:colOff>
      <xdr:row>8</xdr:row>
      <xdr:rowOff>23814</xdr:rowOff>
    </xdr:from>
    <xdr:to>
      <xdr:col>11</xdr:col>
      <xdr:colOff>571500</xdr:colOff>
      <xdr:row>11</xdr:row>
      <xdr:rowOff>1</xdr:rowOff>
    </xdr:to>
    <xdr:sp macro="" textlink="">
      <xdr:nvSpPr>
        <xdr:cNvPr id="906995" name="Line 9"/>
        <xdr:cNvSpPr>
          <a:spLocks noChangeShapeType="1"/>
        </xdr:cNvSpPr>
      </xdr:nvSpPr>
      <xdr:spPr bwMode="auto">
        <a:xfrm>
          <a:off x="7274719" y="1750220"/>
          <a:ext cx="0" cy="476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600075</xdr:colOff>
      <xdr:row>12</xdr:row>
      <xdr:rowOff>9525</xdr:rowOff>
    </xdr:from>
    <xdr:to>
      <xdr:col>11</xdr:col>
      <xdr:colOff>600075</xdr:colOff>
      <xdr:row>18</xdr:row>
      <xdr:rowOff>123825</xdr:rowOff>
    </xdr:to>
    <xdr:sp macro="" textlink="">
      <xdr:nvSpPr>
        <xdr:cNvPr id="906996" name="Line 10"/>
        <xdr:cNvSpPr>
          <a:spLocks noChangeShapeType="1"/>
        </xdr:cNvSpPr>
      </xdr:nvSpPr>
      <xdr:spPr bwMode="auto">
        <a:xfrm>
          <a:off x="7305675" y="2524125"/>
          <a:ext cx="0" cy="1085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28</xdr:row>
      <xdr:rowOff>95250</xdr:rowOff>
    </xdr:from>
    <xdr:to>
      <xdr:col>12</xdr:col>
      <xdr:colOff>219075</xdr:colOff>
      <xdr:row>28</xdr:row>
      <xdr:rowOff>95250</xdr:rowOff>
    </xdr:to>
    <xdr:sp macro="" textlink="">
      <xdr:nvSpPr>
        <xdr:cNvPr id="906997" name="Line 13"/>
        <xdr:cNvSpPr>
          <a:spLocks noChangeShapeType="1"/>
        </xdr:cNvSpPr>
      </xdr:nvSpPr>
      <xdr:spPr bwMode="auto">
        <a:xfrm>
          <a:off x="8039100" y="5686425"/>
          <a:ext cx="21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590550</xdr:colOff>
      <xdr:row>28</xdr:row>
      <xdr:rowOff>152400</xdr:rowOff>
    </xdr:from>
    <xdr:to>
      <xdr:col>11</xdr:col>
      <xdr:colOff>590550</xdr:colOff>
      <xdr:row>32</xdr:row>
      <xdr:rowOff>142875</xdr:rowOff>
    </xdr:to>
    <xdr:sp macro="" textlink="">
      <xdr:nvSpPr>
        <xdr:cNvPr id="906998" name="Line 16"/>
        <xdr:cNvSpPr>
          <a:spLocks noChangeShapeType="1"/>
        </xdr:cNvSpPr>
      </xdr:nvSpPr>
      <xdr:spPr bwMode="auto">
        <a:xfrm>
          <a:off x="7296150" y="5743575"/>
          <a:ext cx="0" cy="6286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571499</xdr:colOff>
      <xdr:row>8</xdr:row>
      <xdr:rowOff>11908</xdr:rowOff>
    </xdr:from>
    <xdr:to>
      <xdr:col>9</xdr:col>
      <xdr:colOff>583406</xdr:colOff>
      <xdr:row>11</xdr:row>
      <xdr:rowOff>1</xdr:rowOff>
    </xdr:to>
    <xdr:sp macro="" textlink="">
      <xdr:nvSpPr>
        <xdr:cNvPr id="906999" name="Line 17"/>
        <xdr:cNvSpPr>
          <a:spLocks noChangeShapeType="1"/>
        </xdr:cNvSpPr>
      </xdr:nvSpPr>
      <xdr:spPr bwMode="auto">
        <a:xfrm flipH="1">
          <a:off x="5774530" y="1738314"/>
          <a:ext cx="11907" cy="48815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12</xdr:row>
      <xdr:rowOff>9525</xdr:rowOff>
    </xdr:from>
    <xdr:to>
      <xdr:col>9</xdr:col>
      <xdr:colOff>600075</xdr:colOff>
      <xdr:row>18</xdr:row>
      <xdr:rowOff>123825</xdr:rowOff>
    </xdr:to>
    <xdr:sp macro="" textlink="">
      <xdr:nvSpPr>
        <xdr:cNvPr id="907000" name="Line 18"/>
        <xdr:cNvSpPr>
          <a:spLocks noChangeShapeType="1"/>
        </xdr:cNvSpPr>
      </xdr:nvSpPr>
      <xdr:spPr bwMode="auto">
        <a:xfrm>
          <a:off x="5800725" y="2524125"/>
          <a:ext cx="0" cy="1085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619125</xdr:colOff>
      <xdr:row>34</xdr:row>
      <xdr:rowOff>9525</xdr:rowOff>
    </xdr:from>
    <xdr:to>
      <xdr:col>11</xdr:col>
      <xdr:colOff>619125</xdr:colOff>
      <xdr:row>35</xdr:row>
      <xdr:rowOff>190500</xdr:rowOff>
    </xdr:to>
    <xdr:sp macro="" textlink="">
      <xdr:nvSpPr>
        <xdr:cNvPr id="907001" name="Line 21"/>
        <xdr:cNvSpPr>
          <a:spLocks noChangeShapeType="1"/>
        </xdr:cNvSpPr>
      </xdr:nvSpPr>
      <xdr:spPr bwMode="auto">
        <a:xfrm>
          <a:off x="7324725" y="6705600"/>
          <a:ext cx="0" cy="295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28575</xdr:colOff>
      <xdr:row>35</xdr:row>
      <xdr:rowOff>180975</xdr:rowOff>
    </xdr:from>
    <xdr:to>
      <xdr:col>11</xdr:col>
      <xdr:colOff>619125</xdr:colOff>
      <xdr:row>35</xdr:row>
      <xdr:rowOff>190500</xdr:rowOff>
    </xdr:to>
    <xdr:sp macro="" textlink="">
      <xdr:nvSpPr>
        <xdr:cNvPr id="907002" name="Line 22"/>
        <xdr:cNvSpPr>
          <a:spLocks noChangeShapeType="1"/>
        </xdr:cNvSpPr>
      </xdr:nvSpPr>
      <xdr:spPr bwMode="auto">
        <a:xfrm flipH="1" flipV="1">
          <a:off x="1828800" y="6991350"/>
          <a:ext cx="54959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1609725</xdr:colOff>
      <xdr:row>28</xdr:row>
      <xdr:rowOff>104775</xdr:rowOff>
    </xdr:from>
    <xdr:to>
      <xdr:col>10</xdr:col>
      <xdr:colOff>200025</xdr:colOff>
      <xdr:row>28</xdr:row>
      <xdr:rowOff>104775</xdr:rowOff>
    </xdr:to>
    <xdr:sp macro="" textlink="">
      <xdr:nvSpPr>
        <xdr:cNvPr id="907003" name="Line 23"/>
        <xdr:cNvSpPr>
          <a:spLocks noChangeShapeType="1"/>
        </xdr:cNvSpPr>
      </xdr:nvSpPr>
      <xdr:spPr bwMode="auto">
        <a:xfrm>
          <a:off x="1800225" y="5695950"/>
          <a:ext cx="4876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19</xdr:row>
      <xdr:rowOff>85725</xdr:rowOff>
    </xdr:from>
    <xdr:to>
      <xdr:col>8</xdr:col>
      <xdr:colOff>180975</xdr:colOff>
      <xdr:row>19</xdr:row>
      <xdr:rowOff>85725</xdr:rowOff>
    </xdr:to>
    <xdr:sp macro="" textlink="">
      <xdr:nvSpPr>
        <xdr:cNvPr id="907004" name="Line 24"/>
        <xdr:cNvSpPr>
          <a:spLocks noChangeShapeType="1"/>
        </xdr:cNvSpPr>
      </xdr:nvSpPr>
      <xdr:spPr bwMode="auto">
        <a:xfrm>
          <a:off x="5000625" y="373380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1485900</xdr:colOff>
      <xdr:row>24</xdr:row>
      <xdr:rowOff>85725</xdr:rowOff>
    </xdr:from>
    <xdr:to>
      <xdr:col>8</xdr:col>
      <xdr:colOff>171450</xdr:colOff>
      <xdr:row>24</xdr:row>
      <xdr:rowOff>85725</xdr:rowOff>
    </xdr:to>
    <xdr:sp macro="" textlink="">
      <xdr:nvSpPr>
        <xdr:cNvPr id="907005" name="Line 25"/>
        <xdr:cNvSpPr>
          <a:spLocks noChangeShapeType="1"/>
        </xdr:cNvSpPr>
      </xdr:nvSpPr>
      <xdr:spPr bwMode="auto">
        <a:xfrm>
          <a:off x="5000625" y="4705350"/>
          <a:ext cx="171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24</xdr:row>
      <xdr:rowOff>85725</xdr:rowOff>
    </xdr:from>
    <xdr:to>
      <xdr:col>10</xdr:col>
      <xdr:colOff>190500</xdr:colOff>
      <xdr:row>24</xdr:row>
      <xdr:rowOff>85725</xdr:rowOff>
    </xdr:to>
    <xdr:sp macro="" textlink="">
      <xdr:nvSpPr>
        <xdr:cNvPr id="907006" name="Line 26"/>
        <xdr:cNvSpPr>
          <a:spLocks noChangeShapeType="1"/>
        </xdr:cNvSpPr>
      </xdr:nvSpPr>
      <xdr:spPr bwMode="auto">
        <a:xfrm>
          <a:off x="6486525" y="47053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28575</xdr:colOff>
      <xdr:row>11</xdr:row>
      <xdr:rowOff>180975</xdr:rowOff>
    </xdr:from>
    <xdr:to>
      <xdr:col>8</xdr:col>
      <xdr:colOff>171450</xdr:colOff>
      <xdr:row>11</xdr:row>
      <xdr:rowOff>180975</xdr:rowOff>
    </xdr:to>
    <xdr:sp macro="" textlink="">
      <xdr:nvSpPr>
        <xdr:cNvPr id="907007" name="Line 27"/>
        <xdr:cNvSpPr>
          <a:spLocks noChangeShapeType="1"/>
        </xdr:cNvSpPr>
      </xdr:nvSpPr>
      <xdr:spPr bwMode="auto">
        <a:xfrm>
          <a:off x="3838575" y="2371725"/>
          <a:ext cx="1333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11</xdr:row>
      <xdr:rowOff>171450</xdr:rowOff>
    </xdr:from>
    <xdr:to>
      <xdr:col>10</xdr:col>
      <xdr:colOff>209550</xdr:colOff>
      <xdr:row>11</xdr:row>
      <xdr:rowOff>171450</xdr:rowOff>
    </xdr:to>
    <xdr:sp macro="" textlink="">
      <xdr:nvSpPr>
        <xdr:cNvPr id="907008" name="Line 28"/>
        <xdr:cNvSpPr>
          <a:spLocks noChangeShapeType="1"/>
        </xdr:cNvSpPr>
      </xdr:nvSpPr>
      <xdr:spPr bwMode="auto">
        <a:xfrm>
          <a:off x="6477000" y="2362200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</xdr:row>
      <xdr:rowOff>95250</xdr:rowOff>
    </xdr:from>
    <xdr:to>
      <xdr:col>8</xdr:col>
      <xdr:colOff>180975</xdr:colOff>
      <xdr:row>7</xdr:row>
      <xdr:rowOff>95250</xdr:rowOff>
    </xdr:to>
    <xdr:sp macro="" textlink="">
      <xdr:nvSpPr>
        <xdr:cNvPr id="907009" name="Line 29"/>
        <xdr:cNvSpPr>
          <a:spLocks noChangeShapeType="1"/>
        </xdr:cNvSpPr>
      </xdr:nvSpPr>
      <xdr:spPr bwMode="auto">
        <a:xfrm>
          <a:off x="2695575" y="1476375"/>
          <a:ext cx="2486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7</xdr:row>
      <xdr:rowOff>95250</xdr:rowOff>
    </xdr:from>
    <xdr:to>
      <xdr:col>10</xdr:col>
      <xdr:colOff>200025</xdr:colOff>
      <xdr:row>7</xdr:row>
      <xdr:rowOff>95250</xdr:rowOff>
    </xdr:to>
    <xdr:sp macro="" textlink="">
      <xdr:nvSpPr>
        <xdr:cNvPr id="907010" name="Line 30"/>
        <xdr:cNvSpPr>
          <a:spLocks noChangeShapeType="1"/>
        </xdr:cNvSpPr>
      </xdr:nvSpPr>
      <xdr:spPr bwMode="auto">
        <a:xfrm>
          <a:off x="6477000" y="147637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638175</xdr:colOff>
      <xdr:row>20</xdr:row>
      <xdr:rowOff>0</xdr:rowOff>
    </xdr:from>
    <xdr:to>
      <xdr:col>9</xdr:col>
      <xdr:colOff>638175</xdr:colOff>
      <xdr:row>24</xdr:row>
      <xdr:rowOff>9525</xdr:rowOff>
    </xdr:to>
    <xdr:sp macro="" textlink="">
      <xdr:nvSpPr>
        <xdr:cNvPr id="907011" name="Line 32"/>
        <xdr:cNvSpPr>
          <a:spLocks noChangeShapeType="1"/>
        </xdr:cNvSpPr>
      </xdr:nvSpPr>
      <xdr:spPr bwMode="auto">
        <a:xfrm>
          <a:off x="5838825" y="3971925"/>
          <a:ext cx="0" cy="657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619125</xdr:colOff>
      <xdr:row>20</xdr:row>
      <xdr:rowOff>28575</xdr:rowOff>
    </xdr:from>
    <xdr:to>
      <xdr:col>11</xdr:col>
      <xdr:colOff>619125</xdr:colOff>
      <xdr:row>23</xdr:row>
      <xdr:rowOff>123825</xdr:rowOff>
    </xdr:to>
    <xdr:sp macro="" textlink="">
      <xdr:nvSpPr>
        <xdr:cNvPr id="907012" name="Line 33"/>
        <xdr:cNvSpPr>
          <a:spLocks noChangeShapeType="1"/>
        </xdr:cNvSpPr>
      </xdr:nvSpPr>
      <xdr:spPr bwMode="auto">
        <a:xfrm>
          <a:off x="7324725" y="4000500"/>
          <a:ext cx="0" cy="581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638174</xdr:colOff>
      <xdr:row>25</xdr:row>
      <xdr:rowOff>11905</xdr:rowOff>
    </xdr:from>
    <xdr:to>
      <xdr:col>9</xdr:col>
      <xdr:colOff>654843</xdr:colOff>
      <xdr:row>32</xdr:row>
      <xdr:rowOff>114299</xdr:rowOff>
    </xdr:to>
    <xdr:sp macro="" textlink="">
      <xdr:nvSpPr>
        <xdr:cNvPr id="907013" name="Line 34"/>
        <xdr:cNvSpPr>
          <a:spLocks noChangeShapeType="1"/>
        </xdr:cNvSpPr>
      </xdr:nvSpPr>
      <xdr:spPr bwMode="auto">
        <a:xfrm flipH="1">
          <a:off x="5960268" y="5036343"/>
          <a:ext cx="16669" cy="142398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619125</xdr:colOff>
      <xdr:row>25</xdr:row>
      <xdr:rowOff>0</xdr:rowOff>
    </xdr:from>
    <xdr:to>
      <xdr:col>11</xdr:col>
      <xdr:colOff>619125</xdr:colOff>
      <xdr:row>27</xdr:row>
      <xdr:rowOff>142875</xdr:rowOff>
    </xdr:to>
    <xdr:sp macro="" textlink="">
      <xdr:nvSpPr>
        <xdr:cNvPr id="907014" name="Line 35"/>
        <xdr:cNvSpPr>
          <a:spLocks noChangeShapeType="1"/>
        </xdr:cNvSpPr>
      </xdr:nvSpPr>
      <xdr:spPr bwMode="auto">
        <a:xfrm>
          <a:off x="7324725" y="4943475"/>
          <a:ext cx="0" cy="6286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723900</xdr:colOff>
      <xdr:row>19</xdr:row>
      <xdr:rowOff>95250</xdr:rowOff>
    </xdr:from>
    <xdr:to>
      <xdr:col>13</xdr:col>
      <xdr:colOff>723900</xdr:colOff>
      <xdr:row>27</xdr:row>
      <xdr:rowOff>133350</xdr:rowOff>
    </xdr:to>
    <xdr:sp macro="" textlink="">
      <xdr:nvSpPr>
        <xdr:cNvPr id="907015" name="Line 36"/>
        <xdr:cNvSpPr>
          <a:spLocks noChangeShapeType="1"/>
        </xdr:cNvSpPr>
      </xdr:nvSpPr>
      <xdr:spPr bwMode="auto">
        <a:xfrm>
          <a:off x="9001125" y="3743325"/>
          <a:ext cx="0" cy="1819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19</xdr:row>
      <xdr:rowOff>95250</xdr:rowOff>
    </xdr:from>
    <xdr:to>
      <xdr:col>13</xdr:col>
      <xdr:colOff>695325</xdr:colOff>
      <xdr:row>19</xdr:row>
      <xdr:rowOff>95250</xdr:rowOff>
    </xdr:to>
    <xdr:sp macro="" textlink="">
      <xdr:nvSpPr>
        <xdr:cNvPr id="907016" name="Line 37"/>
        <xdr:cNvSpPr>
          <a:spLocks noChangeShapeType="1"/>
        </xdr:cNvSpPr>
      </xdr:nvSpPr>
      <xdr:spPr bwMode="auto">
        <a:xfrm>
          <a:off x="8048625" y="3743325"/>
          <a:ext cx="9239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24</xdr:row>
      <xdr:rowOff>95250</xdr:rowOff>
    </xdr:from>
    <xdr:to>
      <xdr:col>13</xdr:col>
      <xdr:colOff>714375</xdr:colOff>
      <xdr:row>24</xdr:row>
      <xdr:rowOff>95250</xdr:rowOff>
    </xdr:to>
    <xdr:sp macro="" textlink="">
      <xdr:nvSpPr>
        <xdr:cNvPr id="907017" name="Line 38"/>
        <xdr:cNvSpPr>
          <a:spLocks noChangeShapeType="1"/>
        </xdr:cNvSpPr>
      </xdr:nvSpPr>
      <xdr:spPr bwMode="auto">
        <a:xfrm>
          <a:off x="8039100" y="4714875"/>
          <a:ext cx="952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8"/>
  <sheetViews>
    <sheetView zoomScale="80" zoomScaleNormal="80" workbookViewId="0">
      <selection activeCell="B27" sqref="B27"/>
    </sheetView>
  </sheetViews>
  <sheetFormatPr defaultRowHeight="12.75" x14ac:dyDescent="0.2"/>
  <cols>
    <col min="1" max="1" width="3.28515625" customWidth="1"/>
    <col min="2" max="2" width="23.7109375" customWidth="1"/>
    <col min="3" max="3" width="2.85546875" customWidth="1"/>
    <col min="4" max="4" width="10.5703125" customWidth="1"/>
    <col min="5" max="5" width="2.42578125" customWidth="1"/>
    <col min="6" max="6" width="16.140625" customWidth="1"/>
    <col min="7" max="7" width="2.7109375" customWidth="1"/>
    <col min="8" max="8" width="15.140625" customWidth="1"/>
    <col min="9" max="9" width="3" customWidth="1"/>
    <col min="10" max="10" width="19.140625" customWidth="1"/>
    <col min="11" max="11" width="3.42578125" customWidth="1"/>
    <col min="12" max="12" width="20" customWidth="1"/>
    <col min="13" max="13" width="3.5703125" customWidth="1"/>
    <col min="14" max="14" width="25.7109375" customWidth="1"/>
  </cols>
  <sheetData>
    <row r="1" spans="1:15" ht="15.75" x14ac:dyDescent="0.25">
      <c r="A1" s="420"/>
      <c r="B1" s="529" t="s">
        <v>49</v>
      </c>
      <c r="C1" s="420"/>
      <c r="D1" s="529" t="s">
        <v>164</v>
      </c>
      <c r="E1" s="420"/>
      <c r="F1" s="420"/>
      <c r="G1" s="420"/>
      <c r="H1" s="420"/>
      <c r="I1" s="420"/>
      <c r="J1" s="420"/>
      <c r="K1" s="420"/>
      <c r="L1" s="420"/>
      <c r="M1" s="420"/>
      <c r="N1" s="420"/>
      <c r="O1" s="420"/>
    </row>
    <row r="2" spans="1:15" ht="15.75" x14ac:dyDescent="0.25">
      <c r="A2" s="420"/>
      <c r="B2" s="420"/>
      <c r="C2" s="420"/>
      <c r="D2" s="529" t="s">
        <v>165</v>
      </c>
      <c r="E2" s="420"/>
      <c r="F2" s="420"/>
      <c r="G2" s="420"/>
      <c r="H2" s="420"/>
      <c r="I2" s="420"/>
      <c r="J2" s="420"/>
      <c r="K2" s="420"/>
      <c r="L2" s="420"/>
      <c r="M2" s="420"/>
      <c r="N2" s="420"/>
      <c r="O2" s="420"/>
    </row>
    <row r="3" spans="1:15" ht="15.75" x14ac:dyDescent="0.25">
      <c r="A3" s="420"/>
      <c r="B3" s="420"/>
      <c r="C3" s="420"/>
      <c r="D3" s="529" t="s">
        <v>166</v>
      </c>
      <c r="E3" s="420"/>
      <c r="F3" s="420"/>
      <c r="G3" s="420"/>
      <c r="H3" s="420"/>
      <c r="I3" s="420"/>
      <c r="J3" s="420"/>
      <c r="K3" s="420"/>
      <c r="L3" s="420"/>
      <c r="M3" s="420"/>
      <c r="N3" s="420"/>
      <c r="O3" s="420"/>
    </row>
    <row r="4" spans="1:15" ht="8.25" customHeight="1" x14ac:dyDescent="0.2">
      <c r="A4" s="420"/>
      <c r="B4" s="420"/>
      <c r="C4" s="420"/>
      <c r="D4" s="420"/>
      <c r="E4" s="420"/>
      <c r="F4" s="420"/>
      <c r="G4" s="420"/>
      <c r="H4" s="420"/>
      <c r="I4" s="420"/>
      <c r="J4" s="420"/>
      <c r="K4" s="420"/>
      <c r="L4" s="420"/>
      <c r="M4" s="420"/>
      <c r="N4" s="420"/>
      <c r="O4" s="420"/>
    </row>
    <row r="5" spans="1:15" x14ac:dyDescent="0.2">
      <c r="A5" s="420"/>
      <c r="B5" s="530" t="s">
        <v>50</v>
      </c>
      <c r="C5" s="422"/>
      <c r="D5" s="530" t="s">
        <v>5</v>
      </c>
      <c r="E5" s="422"/>
      <c r="F5" s="530" t="s">
        <v>44</v>
      </c>
      <c r="G5" s="422"/>
      <c r="H5" s="530" t="s">
        <v>51</v>
      </c>
      <c r="I5" s="531"/>
      <c r="J5" s="530" t="s">
        <v>160</v>
      </c>
      <c r="K5" s="420"/>
      <c r="L5" s="530" t="s">
        <v>82</v>
      </c>
      <c r="M5" s="420"/>
      <c r="N5" s="530" t="s">
        <v>52</v>
      </c>
      <c r="O5" s="420"/>
    </row>
    <row r="6" spans="1:15" ht="27.75" customHeight="1" x14ac:dyDescent="0.2">
      <c r="A6" s="420"/>
      <c r="B6" s="420"/>
      <c r="C6" s="420"/>
      <c r="D6" s="420"/>
      <c r="E6" s="420"/>
      <c r="F6" s="420"/>
      <c r="G6" s="420"/>
      <c r="H6" s="420"/>
      <c r="I6" s="420"/>
      <c r="J6" s="532" t="s">
        <v>53</v>
      </c>
      <c r="K6" s="420"/>
      <c r="L6" s="532" t="s">
        <v>54</v>
      </c>
      <c r="M6" s="420"/>
      <c r="N6" s="532" t="s">
        <v>55</v>
      </c>
      <c r="O6" s="420"/>
    </row>
    <row r="7" spans="1:15" x14ac:dyDescent="0.2">
      <c r="A7" s="420"/>
      <c r="B7" s="530" t="s">
        <v>56</v>
      </c>
      <c r="C7" s="420"/>
      <c r="D7" s="420"/>
      <c r="E7" s="420"/>
      <c r="F7" s="420"/>
      <c r="G7" s="420"/>
      <c r="H7" s="420"/>
      <c r="I7" s="420"/>
      <c r="J7" s="420"/>
      <c r="K7" s="420"/>
      <c r="L7" s="420"/>
      <c r="M7" s="420"/>
      <c r="N7" s="420"/>
      <c r="O7" s="420"/>
    </row>
    <row r="8" spans="1:15" ht="25.5" x14ac:dyDescent="0.2">
      <c r="A8" s="420"/>
      <c r="B8" s="533" t="s">
        <v>57</v>
      </c>
      <c r="C8" s="420"/>
      <c r="D8" s="544" t="s">
        <v>58</v>
      </c>
      <c r="E8" s="420"/>
      <c r="F8" s="420"/>
      <c r="G8" s="420"/>
      <c r="H8" s="420"/>
      <c r="I8" s="420"/>
      <c r="J8" s="535" t="s">
        <v>5</v>
      </c>
      <c r="K8" s="420"/>
      <c r="L8" s="535" t="s">
        <v>5</v>
      </c>
      <c r="M8" s="420"/>
      <c r="N8" s="420"/>
      <c r="O8" s="420"/>
    </row>
    <row r="9" spans="1:15" x14ac:dyDescent="0.2">
      <c r="A9" s="420"/>
      <c r="B9" s="536" t="s">
        <v>202</v>
      </c>
      <c r="C9" s="420"/>
      <c r="D9" s="547"/>
      <c r="E9" s="420"/>
      <c r="F9" s="420"/>
      <c r="G9" s="420"/>
      <c r="H9" s="420"/>
      <c r="I9" s="420"/>
      <c r="J9" s="421"/>
      <c r="K9" s="420"/>
      <c r="L9" s="421"/>
      <c r="M9" s="420"/>
      <c r="N9" s="420"/>
      <c r="O9" s="420"/>
    </row>
    <row r="10" spans="1:15" x14ac:dyDescent="0.2">
      <c r="A10" s="420"/>
      <c r="B10" s="872" t="s">
        <v>667</v>
      </c>
      <c r="C10" s="420"/>
      <c r="D10" s="421"/>
      <c r="E10" s="420"/>
      <c r="F10" s="420"/>
      <c r="G10" s="420"/>
      <c r="H10" s="420"/>
      <c r="I10" s="420"/>
      <c r="J10" s="420"/>
      <c r="K10" s="420"/>
      <c r="L10" s="420"/>
      <c r="M10" s="420"/>
      <c r="N10" s="420"/>
      <c r="O10" s="420"/>
    </row>
    <row r="11" spans="1:15" x14ac:dyDescent="0.2">
      <c r="A11" s="420"/>
      <c r="B11" s="420"/>
      <c r="C11" s="420"/>
      <c r="D11" s="420"/>
      <c r="E11" s="420"/>
      <c r="F11" s="420"/>
      <c r="G11" s="420"/>
      <c r="H11" s="420"/>
      <c r="I11" s="420"/>
      <c r="J11" s="420"/>
      <c r="K11" s="420"/>
      <c r="L11" s="420"/>
      <c r="M11" s="420"/>
      <c r="N11" s="420"/>
      <c r="O11" s="420"/>
    </row>
    <row r="12" spans="1:15" ht="25.5" x14ac:dyDescent="0.2">
      <c r="A12" s="420"/>
      <c r="B12" s="538" t="s">
        <v>59</v>
      </c>
      <c r="C12" s="420"/>
      <c r="D12" s="420"/>
      <c r="E12" s="420"/>
      <c r="F12" s="539" t="s">
        <v>60</v>
      </c>
      <c r="G12" s="420"/>
      <c r="H12" s="420"/>
      <c r="I12" s="420"/>
      <c r="J12" s="535" t="s">
        <v>44</v>
      </c>
      <c r="K12" s="420"/>
      <c r="L12" s="535" t="s">
        <v>44</v>
      </c>
      <c r="M12" s="420"/>
      <c r="N12" s="420"/>
      <c r="O12" s="420"/>
    </row>
    <row r="13" spans="1:15" x14ac:dyDescent="0.2">
      <c r="A13" s="420"/>
      <c r="B13" s="540" t="s">
        <v>61</v>
      </c>
      <c r="C13" s="420"/>
      <c r="D13" s="420"/>
      <c r="E13" s="420"/>
      <c r="F13" s="542" t="s">
        <v>62</v>
      </c>
      <c r="G13" s="420"/>
      <c r="H13" s="420"/>
      <c r="I13" s="420"/>
      <c r="J13" s="420"/>
      <c r="K13" s="420"/>
      <c r="L13" s="420"/>
      <c r="M13" s="420"/>
      <c r="N13" s="420"/>
      <c r="O13" s="420"/>
    </row>
    <row r="14" spans="1:15" x14ac:dyDescent="0.2">
      <c r="A14" s="420"/>
      <c r="B14" s="536" t="s">
        <v>63</v>
      </c>
      <c r="C14" s="420"/>
      <c r="D14" s="420"/>
      <c r="E14" s="420"/>
      <c r="F14" s="546"/>
      <c r="G14" s="420"/>
      <c r="H14" s="420"/>
      <c r="I14" s="420"/>
      <c r="J14" s="420"/>
      <c r="K14" s="420"/>
      <c r="L14" s="420"/>
      <c r="M14" s="420"/>
      <c r="N14" s="420"/>
      <c r="O14" s="420"/>
    </row>
    <row r="15" spans="1:15" x14ac:dyDescent="0.2">
      <c r="A15" s="420"/>
      <c r="B15" s="536" t="s">
        <v>64</v>
      </c>
      <c r="C15" s="420"/>
      <c r="D15" s="420"/>
      <c r="E15" s="420"/>
      <c r="F15" s="546"/>
      <c r="G15" s="420"/>
      <c r="H15" s="420"/>
      <c r="I15" s="420"/>
      <c r="J15" s="420"/>
      <c r="K15" s="420"/>
      <c r="L15" s="420"/>
      <c r="M15" s="420"/>
      <c r="N15" s="420"/>
      <c r="O15" s="420"/>
    </row>
    <row r="16" spans="1:15" x14ac:dyDescent="0.2">
      <c r="A16" s="420"/>
      <c r="B16" s="541" t="s">
        <v>65</v>
      </c>
      <c r="C16" s="420"/>
      <c r="D16" s="420"/>
      <c r="E16" s="420"/>
      <c r="F16" s="546"/>
      <c r="G16" s="420"/>
      <c r="H16" s="420"/>
      <c r="I16" s="420"/>
      <c r="J16" s="420"/>
      <c r="K16" s="420"/>
      <c r="L16" s="420"/>
      <c r="M16" s="420"/>
      <c r="N16" s="420"/>
      <c r="O16" s="420"/>
    </row>
    <row r="17" spans="1:15" x14ac:dyDescent="0.2">
      <c r="A17" s="420"/>
      <c r="B17" s="536" t="s">
        <v>47</v>
      </c>
      <c r="C17" s="420"/>
      <c r="D17" s="420"/>
      <c r="E17" s="420"/>
      <c r="F17" s="546"/>
      <c r="G17" s="420"/>
      <c r="H17" s="420"/>
      <c r="I17" s="420"/>
      <c r="J17" s="420"/>
      <c r="K17" s="420"/>
      <c r="L17" s="420"/>
      <c r="M17" s="420"/>
      <c r="N17" s="420"/>
      <c r="O17" s="420"/>
    </row>
    <row r="18" spans="1:15" x14ac:dyDescent="0.2">
      <c r="A18" s="420"/>
      <c r="B18" s="537" t="s">
        <v>158</v>
      </c>
      <c r="C18" s="420"/>
      <c r="D18" s="420"/>
      <c r="E18" s="420"/>
      <c r="F18" s="546"/>
      <c r="G18" s="420"/>
      <c r="H18" s="420"/>
      <c r="I18" s="420"/>
      <c r="J18" s="420"/>
      <c r="K18" s="420"/>
      <c r="L18" s="420"/>
      <c r="M18" s="420"/>
      <c r="N18" s="420"/>
      <c r="O18" s="420"/>
    </row>
    <row r="19" spans="1:15" x14ac:dyDescent="0.2">
      <c r="A19" s="420"/>
      <c r="B19" s="420"/>
      <c r="C19" s="420"/>
      <c r="D19" s="420"/>
      <c r="E19" s="420"/>
      <c r="F19" s="421"/>
      <c r="G19" s="420"/>
      <c r="H19" s="420"/>
      <c r="I19" s="420"/>
      <c r="J19" s="420"/>
      <c r="K19" s="420"/>
      <c r="L19" s="420"/>
      <c r="M19" s="420"/>
      <c r="N19" s="420"/>
      <c r="O19" s="420"/>
    </row>
    <row r="20" spans="1:15" ht="25.5" x14ac:dyDescent="0.2">
      <c r="A20" s="420"/>
      <c r="B20" s="540" t="s">
        <v>72</v>
      </c>
      <c r="C20" s="420"/>
      <c r="D20" s="420"/>
      <c r="E20" s="420"/>
      <c r="F20" s="420"/>
      <c r="G20" s="420"/>
      <c r="H20" s="534" t="s">
        <v>73</v>
      </c>
      <c r="I20" s="421"/>
      <c r="J20" s="535" t="s">
        <v>74</v>
      </c>
      <c r="K20" s="420"/>
      <c r="L20" s="535" t="s">
        <v>74</v>
      </c>
      <c r="M20" s="420"/>
      <c r="N20" s="420"/>
      <c r="O20" s="420"/>
    </row>
    <row r="21" spans="1:15" x14ac:dyDescent="0.2">
      <c r="A21" s="420"/>
      <c r="B21" s="536" t="s">
        <v>159</v>
      </c>
      <c r="C21" s="420"/>
      <c r="D21" s="420"/>
      <c r="E21" s="420"/>
      <c r="F21" s="420"/>
      <c r="G21" s="420"/>
      <c r="H21" s="536"/>
      <c r="I21" s="421"/>
      <c r="J21" s="420"/>
      <c r="K21" s="420"/>
      <c r="L21" s="420"/>
      <c r="M21" s="420"/>
      <c r="N21" s="420"/>
      <c r="O21" s="420"/>
    </row>
    <row r="22" spans="1:15" x14ac:dyDescent="0.2">
      <c r="A22" s="420"/>
      <c r="B22" s="536" t="s">
        <v>14</v>
      </c>
      <c r="C22" s="420"/>
      <c r="D22" s="420"/>
      <c r="E22" s="420"/>
      <c r="F22" s="420"/>
      <c r="G22" s="420"/>
      <c r="H22" s="536"/>
      <c r="I22" s="421"/>
      <c r="J22" s="420"/>
      <c r="K22" s="420"/>
      <c r="L22" s="420"/>
      <c r="M22" s="420"/>
      <c r="N22" s="420"/>
      <c r="O22" s="420"/>
    </row>
    <row r="23" spans="1:15" x14ac:dyDescent="0.2">
      <c r="A23" s="420"/>
      <c r="B23" s="537"/>
      <c r="C23" s="420"/>
      <c r="D23" s="420"/>
      <c r="E23" s="420"/>
      <c r="F23" s="420"/>
      <c r="G23" s="420"/>
      <c r="H23" s="537"/>
      <c r="I23" s="421"/>
      <c r="J23" s="420"/>
      <c r="K23" s="420"/>
      <c r="L23" s="420"/>
      <c r="M23" s="420"/>
      <c r="N23" s="420"/>
      <c r="O23" s="420"/>
    </row>
    <row r="24" spans="1:15" x14ac:dyDescent="0.2">
      <c r="A24" s="420"/>
      <c r="B24" s="421"/>
      <c r="C24" s="420"/>
      <c r="D24" s="420"/>
      <c r="E24" s="420"/>
      <c r="F24" s="420"/>
      <c r="G24" s="420"/>
      <c r="H24" s="421"/>
      <c r="I24" s="421"/>
      <c r="J24" s="420"/>
      <c r="K24" s="420"/>
      <c r="L24" s="420"/>
      <c r="M24" s="420"/>
      <c r="N24" s="420"/>
      <c r="O24" s="420"/>
    </row>
    <row r="25" spans="1:15" ht="25.5" x14ac:dyDescent="0.2">
      <c r="A25" s="420"/>
      <c r="B25" s="530" t="s">
        <v>161</v>
      </c>
      <c r="C25" s="420"/>
      <c r="D25" s="420"/>
      <c r="E25" s="420"/>
      <c r="F25" s="420"/>
      <c r="G25" s="420"/>
      <c r="H25" s="534" t="s">
        <v>66</v>
      </c>
      <c r="I25" s="421"/>
      <c r="J25" s="535" t="s">
        <v>67</v>
      </c>
      <c r="K25" s="420"/>
      <c r="L25" s="535" t="s">
        <v>67</v>
      </c>
      <c r="M25" s="420"/>
      <c r="N25" s="420"/>
      <c r="O25" s="420"/>
    </row>
    <row r="26" spans="1:15" x14ac:dyDescent="0.2">
      <c r="A26" s="420"/>
      <c r="B26" s="533" t="s">
        <v>68</v>
      </c>
      <c r="C26" s="420"/>
      <c r="D26" s="420"/>
      <c r="E26" s="420"/>
      <c r="F26" s="420"/>
      <c r="G26" s="420"/>
      <c r="H26" s="536" t="s">
        <v>69</v>
      </c>
      <c r="I26" s="421"/>
      <c r="J26" s="420"/>
      <c r="K26" s="420"/>
      <c r="L26" s="420"/>
      <c r="M26" s="420"/>
      <c r="N26" s="420"/>
      <c r="O26" s="420"/>
    </row>
    <row r="27" spans="1:15" ht="25.5" x14ac:dyDescent="0.2">
      <c r="A27" s="420"/>
      <c r="B27" s="537" t="s">
        <v>70</v>
      </c>
      <c r="C27" s="420"/>
      <c r="D27" s="420"/>
      <c r="E27" s="420"/>
      <c r="F27" s="420"/>
      <c r="G27" s="420"/>
      <c r="H27" s="543" t="s">
        <v>71</v>
      </c>
      <c r="I27" s="421"/>
      <c r="J27" s="420"/>
      <c r="K27" s="420"/>
      <c r="L27" s="420"/>
      <c r="M27" s="420"/>
      <c r="N27" s="420"/>
      <c r="O27" s="420"/>
    </row>
    <row r="28" spans="1:15" x14ac:dyDescent="0.2">
      <c r="A28" s="420"/>
      <c r="B28" s="420"/>
      <c r="C28" s="420"/>
      <c r="D28" s="420"/>
      <c r="E28" s="420"/>
      <c r="F28" s="420"/>
      <c r="G28" s="420"/>
      <c r="H28" s="420"/>
      <c r="I28" s="420"/>
      <c r="J28" s="420"/>
      <c r="K28" s="420"/>
      <c r="L28" s="420"/>
      <c r="M28" s="420"/>
      <c r="N28" s="420"/>
      <c r="O28" s="420"/>
    </row>
    <row r="29" spans="1:15" x14ac:dyDescent="0.2">
      <c r="A29" s="420"/>
      <c r="B29" s="530" t="s">
        <v>75</v>
      </c>
      <c r="C29" s="420"/>
      <c r="D29" s="420"/>
      <c r="E29" s="420"/>
      <c r="F29" s="420"/>
      <c r="G29" s="420"/>
      <c r="H29" s="420"/>
      <c r="I29" s="420"/>
      <c r="J29" s="421"/>
      <c r="K29" s="420"/>
      <c r="L29" s="535" t="s">
        <v>76</v>
      </c>
      <c r="M29" s="420"/>
      <c r="N29" s="535" t="s">
        <v>77</v>
      </c>
      <c r="O29" s="420"/>
    </row>
    <row r="30" spans="1:15" x14ac:dyDescent="0.2">
      <c r="A30" s="420"/>
      <c r="B30" s="533" t="s">
        <v>31</v>
      </c>
      <c r="C30" s="420"/>
      <c r="D30" s="420"/>
      <c r="E30" s="420"/>
      <c r="F30" s="420"/>
      <c r="G30" s="420"/>
      <c r="H30" s="420"/>
      <c r="I30" s="420"/>
      <c r="J30" s="420"/>
      <c r="K30" s="420"/>
      <c r="L30" s="420"/>
      <c r="M30" s="420"/>
      <c r="N30" s="420"/>
      <c r="O30" s="420"/>
    </row>
    <row r="31" spans="1:15" x14ac:dyDescent="0.2">
      <c r="A31" s="420"/>
      <c r="B31" s="536" t="s">
        <v>0</v>
      </c>
      <c r="C31" s="420"/>
      <c r="D31" s="420"/>
      <c r="E31" s="420"/>
      <c r="F31" s="420"/>
      <c r="G31" s="420"/>
      <c r="H31" s="420"/>
      <c r="I31" s="420"/>
      <c r="J31" s="420"/>
      <c r="K31" s="420"/>
      <c r="L31" s="420"/>
      <c r="M31" s="420"/>
      <c r="N31" s="420"/>
      <c r="O31" s="420"/>
    </row>
    <row r="32" spans="1:15" x14ac:dyDescent="0.2">
      <c r="A32" s="420"/>
      <c r="B32" s="537" t="s">
        <v>78</v>
      </c>
      <c r="C32" s="420"/>
      <c r="D32" s="420"/>
      <c r="E32" s="420"/>
      <c r="F32" s="420"/>
      <c r="G32" s="420"/>
      <c r="H32" s="420"/>
      <c r="I32" s="420"/>
      <c r="J32" s="420"/>
      <c r="K32" s="420"/>
      <c r="L32" s="420"/>
      <c r="M32" s="420"/>
      <c r="N32" s="420"/>
      <c r="O32" s="420"/>
    </row>
    <row r="33" spans="1:15" ht="10.5" customHeight="1" x14ac:dyDescent="0.2">
      <c r="A33" s="420"/>
      <c r="B33" s="420"/>
      <c r="C33" s="420"/>
      <c r="D33" s="420"/>
      <c r="E33" s="420"/>
      <c r="F33" s="420"/>
      <c r="G33" s="420"/>
      <c r="H33" s="420"/>
      <c r="I33" s="420"/>
      <c r="J33" s="420"/>
      <c r="K33" s="420"/>
      <c r="L33" s="420"/>
      <c r="M33" s="420"/>
      <c r="N33" s="420"/>
      <c r="O33" s="420"/>
    </row>
    <row r="34" spans="1:15" ht="25.5" x14ac:dyDescent="0.2">
      <c r="A34" s="420"/>
      <c r="B34" s="420"/>
      <c r="C34" s="420"/>
      <c r="D34" s="420"/>
      <c r="E34" s="420"/>
      <c r="F34" s="420"/>
      <c r="G34" s="420"/>
      <c r="H34" s="420"/>
      <c r="I34" s="420"/>
      <c r="J34" s="544" t="s">
        <v>79</v>
      </c>
      <c r="K34" s="420"/>
      <c r="L34" s="544" t="s">
        <v>80</v>
      </c>
      <c r="M34" s="420"/>
      <c r="N34" s="420"/>
      <c r="O34" s="420"/>
    </row>
    <row r="35" spans="1:15" ht="9" customHeight="1" x14ac:dyDescent="0.2">
      <c r="A35" s="420"/>
      <c r="B35" s="420"/>
      <c r="C35" s="420"/>
      <c r="D35" s="420"/>
      <c r="E35" s="420"/>
      <c r="F35" s="420"/>
      <c r="G35" s="420"/>
      <c r="H35" s="420"/>
      <c r="I35" s="420"/>
      <c r="J35" s="420"/>
      <c r="K35" s="420"/>
      <c r="L35" s="420"/>
      <c r="M35" s="420"/>
      <c r="N35" s="420"/>
      <c r="O35" s="420"/>
    </row>
    <row r="36" spans="1:15" ht="25.5" x14ac:dyDescent="0.2">
      <c r="A36" s="420"/>
      <c r="B36" s="545" t="s">
        <v>81</v>
      </c>
      <c r="C36" s="420"/>
      <c r="D36" s="420"/>
      <c r="E36" s="420"/>
      <c r="F36" s="420"/>
      <c r="G36" s="420"/>
      <c r="H36" s="420"/>
      <c r="I36" s="420"/>
      <c r="J36" s="420"/>
      <c r="K36" s="420"/>
      <c r="L36" s="420"/>
      <c r="M36" s="420"/>
      <c r="N36" s="420"/>
      <c r="O36" s="420"/>
    </row>
    <row r="37" spans="1:15" x14ac:dyDescent="0.2">
      <c r="A37" s="420"/>
      <c r="B37" s="420"/>
      <c r="C37" s="420"/>
      <c r="D37" s="420"/>
      <c r="E37" s="420"/>
      <c r="F37" s="420"/>
      <c r="G37" s="420"/>
      <c r="H37" s="420"/>
      <c r="I37" s="420"/>
      <c r="J37" s="420"/>
      <c r="K37" s="420"/>
      <c r="L37" s="420"/>
      <c r="M37" s="420"/>
      <c r="N37" s="420"/>
      <c r="O37" s="420"/>
    </row>
    <row r="38" spans="1:15" x14ac:dyDescent="0.2">
      <c r="A38" s="420"/>
      <c r="B38" s="420"/>
      <c r="C38" s="420"/>
      <c r="D38" s="420"/>
      <c r="E38" s="420"/>
      <c r="F38" s="420"/>
      <c r="G38" s="420"/>
      <c r="H38" s="420"/>
      <c r="I38" s="420"/>
      <c r="J38" s="420"/>
      <c r="K38" s="420"/>
      <c r="L38" s="420"/>
      <c r="M38" s="420"/>
      <c r="N38" s="420"/>
      <c r="O38" s="420"/>
    </row>
  </sheetData>
  <phoneticPr fontId="0" type="noConversion"/>
  <pageMargins left="0.75" right="0.75" top="1" bottom="1" header="0.5" footer="0.5"/>
  <pageSetup paperSize="9" scale="79" orientation="landscape" verticalDpi="0" r:id="rId1"/>
  <headerFooter alignWithMargins="0">
    <oddFooter>&amp;L&amp;F&amp;A&amp;CPLG Copyright&amp;R&amp;D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Z94"/>
  <sheetViews>
    <sheetView tabSelected="1" zoomScale="90" zoomScaleNormal="90" workbookViewId="0">
      <selection activeCell="N28" sqref="N28"/>
    </sheetView>
  </sheetViews>
  <sheetFormatPr defaultColWidth="9.140625" defaultRowHeight="12.75" x14ac:dyDescent="0.2"/>
  <cols>
    <col min="1" max="1" width="3.28515625" style="8" customWidth="1"/>
    <col min="2" max="2" width="2.85546875" style="8" customWidth="1"/>
    <col min="3" max="3" width="1.85546875" style="8" customWidth="1"/>
    <col min="4" max="4" width="2" style="8" customWidth="1"/>
    <col min="5" max="5" width="27.28515625" style="8" customWidth="1"/>
    <col min="6" max="6" width="10.5703125" style="8" customWidth="1"/>
    <col min="7" max="7" width="13.42578125" style="55" customWidth="1"/>
    <col min="8" max="8" width="8.42578125" style="8" customWidth="1"/>
    <col min="9" max="9" width="8.140625" style="8" customWidth="1"/>
    <col min="10" max="10" width="9.42578125" style="8" customWidth="1"/>
    <col min="11" max="11" width="10.28515625" style="8" customWidth="1"/>
    <col min="12" max="12" width="10.42578125" style="8" customWidth="1"/>
    <col min="13" max="13" width="8.85546875" style="8" customWidth="1"/>
    <col min="14" max="14" width="8.28515625" style="8" customWidth="1"/>
    <col min="15" max="15" width="9.7109375" style="8" customWidth="1"/>
    <col min="16" max="17" width="9.140625" style="8"/>
    <col min="18" max="18" width="9" style="8" customWidth="1"/>
    <col min="19" max="20" width="8.28515625" style="8" customWidth="1"/>
    <col min="21" max="21" width="8.7109375" style="8" customWidth="1"/>
    <col min="22" max="23" width="8" style="8" customWidth="1"/>
    <col min="24" max="24" width="6.7109375" style="8" customWidth="1"/>
    <col min="25" max="25" width="7.5703125" style="8" customWidth="1"/>
    <col min="26" max="16384" width="9.140625" style="8"/>
  </cols>
  <sheetData>
    <row r="2" spans="2:25" x14ac:dyDescent="0.2">
      <c r="B2" s="209" t="s">
        <v>40</v>
      </c>
      <c r="C2" s="286"/>
      <c r="D2" s="210"/>
      <c r="E2" s="210"/>
      <c r="F2" s="408" t="s">
        <v>127</v>
      </c>
      <c r="G2" s="409"/>
      <c r="H2" s="409"/>
      <c r="I2" s="410"/>
      <c r="J2" s="365"/>
      <c r="K2" s="365"/>
      <c r="L2" s="365"/>
      <c r="M2" s="365"/>
      <c r="N2" s="409"/>
      <c r="O2" s="409"/>
      <c r="P2" s="411"/>
      <c r="Q2" s="210"/>
      <c r="R2" s="210"/>
      <c r="S2" s="412" t="s">
        <v>133</v>
      </c>
      <c r="T2" s="210"/>
      <c r="U2" s="210"/>
      <c r="V2" s="210"/>
      <c r="W2" s="210"/>
      <c r="X2" s="210"/>
      <c r="Y2" s="506">
        <v>2008</v>
      </c>
    </row>
    <row r="3" spans="2:25" x14ac:dyDescent="0.2">
      <c r="B3" s="318"/>
      <c r="C3" s="226"/>
      <c r="D3" s="226"/>
      <c r="E3" s="226"/>
      <c r="F3" s="327"/>
      <c r="G3" s="226"/>
      <c r="H3" s="226"/>
      <c r="I3" s="226"/>
      <c r="J3" s="226"/>
      <c r="K3" s="226"/>
      <c r="L3" s="226"/>
      <c r="M3" s="95"/>
      <c r="N3" s="226"/>
      <c r="O3" s="226"/>
      <c r="P3" s="95"/>
      <c r="Q3" s="413"/>
      <c r="R3" s="362"/>
      <c r="S3" s="362"/>
      <c r="T3" s="95"/>
      <c r="U3" s="95"/>
      <c r="V3" s="95"/>
      <c r="W3" s="95"/>
      <c r="X3" s="95"/>
      <c r="Y3" s="95"/>
    </row>
    <row r="4" spans="2:25" x14ac:dyDescent="0.2">
      <c r="B4" s="209" t="s">
        <v>37</v>
      </c>
      <c r="C4" s="210"/>
      <c r="D4" s="210"/>
      <c r="E4" s="210"/>
      <c r="F4" s="235"/>
      <c r="G4" s="211"/>
      <c r="H4" s="212"/>
      <c r="I4" s="210"/>
      <c r="J4" s="210"/>
      <c r="K4" s="210"/>
      <c r="L4" s="210"/>
      <c r="M4" s="212">
        <v>0</v>
      </c>
      <c r="N4" s="212">
        <f>M4+1</f>
        <v>1</v>
      </c>
      <c r="O4" s="212">
        <v>2</v>
      </c>
      <c r="P4" s="212">
        <f t="shared" ref="P4:Y4" si="0">O4+1</f>
        <v>3</v>
      </c>
      <c r="Q4" s="212">
        <f t="shared" si="0"/>
        <v>4</v>
      </c>
      <c r="R4" s="212">
        <f t="shared" si="0"/>
        <v>5</v>
      </c>
      <c r="S4" s="212">
        <f t="shared" si="0"/>
        <v>6</v>
      </c>
      <c r="T4" s="212">
        <f t="shared" si="0"/>
        <v>7</v>
      </c>
      <c r="U4" s="212">
        <f t="shared" si="0"/>
        <v>8</v>
      </c>
      <c r="V4" s="212">
        <f t="shared" si="0"/>
        <v>9</v>
      </c>
      <c r="W4" s="212">
        <f t="shared" si="0"/>
        <v>10</v>
      </c>
      <c r="X4" s="212">
        <f t="shared" si="0"/>
        <v>11</v>
      </c>
      <c r="Y4" s="899">
        <f t="shared" si="0"/>
        <v>12</v>
      </c>
    </row>
    <row r="5" spans="2:25" x14ac:dyDescent="0.2">
      <c r="B5" s="216"/>
      <c r="C5" s="514" t="s">
        <v>562</v>
      </c>
      <c r="F5" s="10"/>
      <c r="G5" s="517"/>
      <c r="H5" s="517"/>
      <c r="I5" s="414">
        <v>2</v>
      </c>
      <c r="J5" s="244"/>
      <c r="K5" s="244" t="s">
        <v>647</v>
      </c>
      <c r="L5" s="244" t="s">
        <v>277</v>
      </c>
      <c r="M5" s="517">
        <f>Y2+1</f>
        <v>2009</v>
      </c>
      <c r="N5" s="517">
        <f t="shared" ref="N5:T5" si="1">M5+1</f>
        <v>2010</v>
      </c>
      <c r="O5" s="517">
        <f t="shared" si="1"/>
        <v>2011</v>
      </c>
      <c r="P5" s="517">
        <f t="shared" si="1"/>
        <v>2012</v>
      </c>
      <c r="Q5" s="517">
        <f t="shared" si="1"/>
        <v>2013</v>
      </c>
      <c r="R5" s="517">
        <f t="shared" si="1"/>
        <v>2014</v>
      </c>
      <c r="S5" s="517">
        <f t="shared" si="1"/>
        <v>2015</v>
      </c>
      <c r="T5" s="517">
        <f t="shared" si="1"/>
        <v>2016</v>
      </c>
      <c r="U5" s="517">
        <f t="shared" ref="U5:Y5" si="2">T5+1</f>
        <v>2017</v>
      </c>
      <c r="V5" s="517">
        <f t="shared" si="2"/>
        <v>2018</v>
      </c>
      <c r="W5" s="517">
        <f t="shared" si="2"/>
        <v>2019</v>
      </c>
      <c r="X5" s="517">
        <f t="shared" si="2"/>
        <v>2020</v>
      </c>
      <c r="Y5" s="214">
        <f t="shared" si="2"/>
        <v>2021</v>
      </c>
    </row>
    <row r="6" spans="2:25" x14ac:dyDescent="0.2">
      <c r="B6" s="213"/>
      <c r="C6" s="135" t="s">
        <v>572</v>
      </c>
      <c r="F6" s="244"/>
      <c r="G6" s="433"/>
      <c r="I6" s="414">
        <v>1</v>
      </c>
      <c r="K6" s="610">
        <f>Sales!G27</f>
        <v>0.3833333333333333</v>
      </c>
      <c r="L6" s="244" t="s">
        <v>295</v>
      </c>
      <c r="M6" s="688"/>
      <c r="N6" s="688"/>
      <c r="O6" s="688"/>
      <c r="P6" s="688">
        <f>Sales!J38</f>
        <v>71.165834772232131</v>
      </c>
      <c r="Q6" s="688">
        <f>Sales!K38</f>
        <v>390.65902451534782</v>
      </c>
      <c r="R6" s="688">
        <f>Sales!L38</f>
        <v>676.77394983104773</v>
      </c>
      <c r="S6" s="688">
        <f>Sales!M38</f>
        <v>1145.6168009775779</v>
      </c>
      <c r="T6" s="688">
        <f>Sales!N38</f>
        <v>1475.4926556377777</v>
      </c>
      <c r="U6" s="688">
        <f>Sales!O38</f>
        <v>1785.3691777183569</v>
      </c>
      <c r="V6" s="688">
        <f>Sales!P38</f>
        <v>2127.5685778731722</v>
      </c>
      <c r="W6" s="688">
        <f>Sales!Q38</f>
        <v>2404.2916302238755</v>
      </c>
      <c r="X6" s="688">
        <f>Sales!R38</f>
        <v>2700.7771310419894</v>
      </c>
      <c r="Y6" s="900">
        <f>Sales!S38</f>
        <v>2901.8369420449253</v>
      </c>
    </row>
    <row r="7" spans="2:25" x14ac:dyDescent="0.2">
      <c r="B7" s="213"/>
      <c r="C7" s="9" t="s">
        <v>573</v>
      </c>
      <c r="G7" s="58"/>
      <c r="H7" s="452" t="s">
        <v>295</v>
      </c>
      <c r="I7" s="548">
        <v>0</v>
      </c>
      <c r="J7" s="244"/>
      <c r="K7" s="610">
        <f>Sales!G28</f>
        <v>0.40333333333333332</v>
      </c>
      <c r="L7" s="740" t="s">
        <v>518</v>
      </c>
      <c r="M7" s="741"/>
      <c r="N7" s="741"/>
      <c r="O7" s="741"/>
      <c r="P7" s="741">
        <f>Sales!J39</f>
        <v>0</v>
      </c>
      <c r="Q7" s="741">
        <f>Sales!K39</f>
        <v>53.555487815802238</v>
      </c>
      <c r="R7" s="741">
        <f>Sales!L39</f>
        <v>363.58601131396142</v>
      </c>
      <c r="S7" s="741">
        <f>Sales!M39</f>
        <v>713.74852852740025</v>
      </c>
      <c r="T7" s="741">
        <f>Sales!N39</f>
        <v>1015.2855831237696</v>
      </c>
      <c r="U7" s="741">
        <f>Sales!O39</f>
        <v>1280.1788650159629</v>
      </c>
      <c r="V7" s="741">
        <f>Sales!P39</f>
        <v>1507.7217756123653</v>
      </c>
      <c r="W7" s="741">
        <f>Sales!Q39</f>
        <v>1733.2250645512029</v>
      </c>
      <c r="X7" s="741">
        <f>Sales!R39</f>
        <v>1950.5608303385463</v>
      </c>
      <c r="Y7" s="901">
        <f>Sales!S39</f>
        <v>2070.6780583697946</v>
      </c>
    </row>
    <row r="8" spans="2:25" x14ac:dyDescent="0.2">
      <c r="B8" s="213"/>
      <c r="C8" s="9" t="s">
        <v>573</v>
      </c>
      <c r="H8" s="452" t="s">
        <v>381</v>
      </c>
      <c r="I8" s="548">
        <v>0</v>
      </c>
      <c r="K8" s="510"/>
      <c r="L8" s="244" t="s">
        <v>4</v>
      </c>
      <c r="M8" s="688"/>
      <c r="N8" s="688"/>
      <c r="O8" s="688"/>
      <c r="P8" s="688">
        <f t="shared" ref="P8" si="3">P6+P7</f>
        <v>71.165834772232131</v>
      </c>
      <c r="Q8" s="688">
        <f t="shared" ref="Q8:Y8" si="4">Q6+Q7</f>
        <v>444.21451233115005</v>
      </c>
      <c r="R8" s="688">
        <f t="shared" si="4"/>
        <v>1040.359961145009</v>
      </c>
      <c r="S8" s="688">
        <f t="shared" si="4"/>
        <v>1859.365329504978</v>
      </c>
      <c r="T8" s="688">
        <f t="shared" si="4"/>
        <v>2490.7782387615471</v>
      </c>
      <c r="U8" s="688">
        <f t="shared" si="4"/>
        <v>3065.54804273432</v>
      </c>
      <c r="V8" s="688">
        <f t="shared" si="4"/>
        <v>3635.2903534855377</v>
      </c>
      <c r="W8" s="688">
        <f t="shared" si="4"/>
        <v>4137.5166947750786</v>
      </c>
      <c r="X8" s="688">
        <f t="shared" si="4"/>
        <v>4651.3379613805355</v>
      </c>
      <c r="Y8" s="900">
        <f t="shared" si="4"/>
        <v>4972.5150004147199</v>
      </c>
    </row>
    <row r="9" spans="2:25" x14ac:dyDescent="0.2">
      <c r="B9" s="216" t="s">
        <v>38</v>
      </c>
      <c r="N9" s="54"/>
      <c r="O9" s="6" t="s">
        <v>45</v>
      </c>
      <c r="Y9" s="215"/>
    </row>
    <row r="10" spans="2:25" x14ac:dyDescent="0.2">
      <c r="B10" s="213"/>
      <c r="C10" s="217" t="s">
        <v>580</v>
      </c>
      <c r="G10" s="8"/>
      <c r="I10" s="415">
        <v>0</v>
      </c>
      <c r="J10" s="11"/>
      <c r="L10" s="825" t="s">
        <v>193</v>
      </c>
      <c r="N10" s="704">
        <f>COG!J70</f>
        <v>0</v>
      </c>
      <c r="U10" s="252" t="s">
        <v>583</v>
      </c>
      <c r="V10" s="415">
        <v>0</v>
      </c>
      <c r="Y10" s="215"/>
    </row>
    <row r="11" spans="2:25" x14ac:dyDescent="0.2">
      <c r="B11" s="213"/>
      <c r="C11" s="19" t="s">
        <v>581</v>
      </c>
      <c r="G11" s="8"/>
      <c r="I11" s="415">
        <v>30</v>
      </c>
      <c r="J11" s="14"/>
      <c r="L11" s="825" t="s">
        <v>232</v>
      </c>
      <c r="M11" s="249">
        <v>2021</v>
      </c>
      <c r="N11" s="448">
        <f>'Lee &amp; Lor'!Q61</f>
        <v>0.19224940271234978</v>
      </c>
      <c r="Y11" s="215"/>
    </row>
    <row r="12" spans="2:25" x14ac:dyDescent="0.2">
      <c r="B12" s="213"/>
      <c r="C12" s="9" t="s">
        <v>582</v>
      </c>
      <c r="G12" s="8"/>
      <c r="I12" s="416">
        <v>0.25</v>
      </c>
      <c r="O12" s="6" t="s">
        <v>163</v>
      </c>
      <c r="P12" s="6"/>
      <c r="Q12" s="134"/>
      <c r="R12" s="20"/>
      <c r="S12" s="517" t="s">
        <v>295</v>
      </c>
      <c r="T12" s="517" t="s">
        <v>381</v>
      </c>
      <c r="U12" s="141"/>
      <c r="Y12" s="215"/>
    </row>
    <row r="13" spans="2:25" x14ac:dyDescent="0.2">
      <c r="B13" s="216" t="s">
        <v>134</v>
      </c>
      <c r="D13" s="20"/>
      <c r="E13" s="20"/>
      <c r="I13" s="517" t="s">
        <v>639</v>
      </c>
      <c r="J13" s="517" t="s">
        <v>640</v>
      </c>
      <c r="L13" s="144" t="s">
        <v>555</v>
      </c>
      <c r="M13" s="144" t="s">
        <v>556</v>
      </c>
      <c r="O13" s="167" t="s">
        <v>263</v>
      </c>
      <c r="S13" s="416">
        <v>0.04</v>
      </c>
      <c r="T13" s="416">
        <v>0.04</v>
      </c>
      <c r="U13" s="141"/>
      <c r="Y13" s="215"/>
    </row>
    <row r="14" spans="2:25" x14ac:dyDescent="0.2">
      <c r="B14" s="213"/>
      <c r="C14" s="9" t="s">
        <v>558</v>
      </c>
      <c r="H14" s="452" t="s">
        <v>295</v>
      </c>
      <c r="I14" s="548">
        <v>1</v>
      </c>
      <c r="J14" s="829">
        <v>1</v>
      </c>
      <c r="L14" s="58">
        <v>1</v>
      </c>
      <c r="M14" s="58">
        <v>0.65</v>
      </c>
      <c r="O14" s="514"/>
      <c r="Q14" s="514"/>
      <c r="R14" s="515"/>
      <c r="T14" s="9"/>
      <c r="U14" s="141"/>
      <c r="V14" s="141"/>
      <c r="W14" s="141"/>
      <c r="Y14" s="215"/>
    </row>
    <row r="15" spans="2:25" x14ac:dyDescent="0.2">
      <c r="B15" s="213"/>
      <c r="C15" s="9" t="s">
        <v>558</v>
      </c>
      <c r="H15" s="452" t="s">
        <v>381</v>
      </c>
      <c r="I15" s="548">
        <v>1</v>
      </c>
      <c r="J15" s="829">
        <v>1</v>
      </c>
      <c r="L15" s="58">
        <v>1</v>
      </c>
      <c r="M15" s="58">
        <v>0.65</v>
      </c>
      <c r="N15" s="142"/>
      <c r="Y15" s="215"/>
    </row>
    <row r="16" spans="2:25" x14ac:dyDescent="0.2">
      <c r="B16" s="213"/>
      <c r="C16" s="19" t="s">
        <v>614</v>
      </c>
      <c r="D16" s="11"/>
      <c r="E16" s="11"/>
      <c r="F16" s="217"/>
      <c r="G16" s="22"/>
      <c r="H16" s="452" t="s">
        <v>295</v>
      </c>
      <c r="I16" s="818">
        <v>0.5</v>
      </c>
      <c r="J16" s="11"/>
      <c r="N16" s="142"/>
      <c r="Q16" s="136"/>
      <c r="Y16" s="215"/>
    </row>
    <row r="17" spans="2:25" x14ac:dyDescent="0.2">
      <c r="B17" s="218"/>
      <c r="C17" s="219" t="s">
        <v>669</v>
      </c>
      <c r="D17" s="21"/>
      <c r="E17" s="21"/>
      <c r="F17" s="21"/>
      <c r="G17" s="95"/>
      <c r="H17" s="819" t="s">
        <v>295</v>
      </c>
      <c r="I17" s="823">
        <v>500</v>
      </c>
      <c r="J17" s="95"/>
      <c r="K17" s="95"/>
      <c r="L17" s="220"/>
      <c r="M17" s="221"/>
      <c r="N17" s="95"/>
      <c r="O17" s="95"/>
      <c r="P17" s="95"/>
      <c r="Q17" s="902"/>
      <c r="R17" s="459" t="s">
        <v>634</v>
      </c>
      <c r="S17" s="824">
        <f>'S&amp;M'!G88</f>
        <v>432.36993477992092</v>
      </c>
      <c r="T17" s="95"/>
      <c r="U17" s="95"/>
      <c r="V17" s="95"/>
      <c r="W17" s="95"/>
      <c r="X17" s="95"/>
      <c r="Y17" s="880"/>
    </row>
    <row r="18" spans="2:25" x14ac:dyDescent="0.2">
      <c r="M18" s="515"/>
      <c r="N18" s="142"/>
      <c r="Q18" s="136"/>
    </row>
    <row r="19" spans="2:25" x14ac:dyDescent="0.2">
      <c r="B19" s="209" t="s">
        <v>39</v>
      </c>
      <c r="C19" s="210"/>
      <c r="D19" s="210"/>
      <c r="E19" s="210"/>
      <c r="F19" s="210"/>
      <c r="G19" s="169" t="s">
        <v>195</v>
      </c>
      <c r="H19" s="170"/>
      <c r="I19" s="171"/>
      <c r="J19" s="172"/>
      <c r="K19" s="171"/>
      <c r="L19" s="881">
        <f>L22+R31+L36</f>
        <v>800</v>
      </c>
      <c r="M19" s="173">
        <f>L19/Y8</f>
        <v>0.16088438143138392</v>
      </c>
      <c r="N19" s="174" t="s">
        <v>155</v>
      </c>
      <c r="O19" s="201"/>
      <c r="P19" s="210"/>
      <c r="Q19" s="210"/>
      <c r="R19" s="210"/>
      <c r="S19" s="210"/>
      <c r="T19" s="210"/>
      <c r="U19" s="248"/>
      <c r="V19" s="248"/>
      <c r="W19" s="210"/>
      <c r="X19" s="210"/>
      <c r="Y19" s="875"/>
    </row>
    <row r="20" spans="2:25" x14ac:dyDescent="0.2">
      <c r="B20" s="213"/>
      <c r="C20" s="31" t="s">
        <v>13</v>
      </c>
      <c r="G20" s="44"/>
      <c r="K20" s="46"/>
      <c r="M20" s="243"/>
      <c r="N20" s="243"/>
      <c r="O20" s="243"/>
      <c r="P20" s="242"/>
      <c r="U20" s="140"/>
      <c r="V20" s="140"/>
      <c r="Y20" s="215"/>
    </row>
    <row r="21" spans="2:25" x14ac:dyDescent="0.2">
      <c r="B21" s="213"/>
      <c r="C21" s="31"/>
      <c r="D21" s="217" t="s">
        <v>517</v>
      </c>
      <c r="E21" s="6"/>
      <c r="F21" s="243" t="s">
        <v>591</v>
      </c>
      <c r="G21" s="23" t="s">
        <v>237</v>
      </c>
      <c r="I21" s="31" t="s">
        <v>139</v>
      </c>
      <c r="K21" s="11"/>
      <c r="L21" s="105" t="s">
        <v>243</v>
      </c>
      <c r="N21" s="517"/>
      <c r="O21" s="517"/>
      <c r="P21" s="517"/>
      <c r="Q21" s="517"/>
      <c r="R21" s="517"/>
      <c r="S21" s="517"/>
      <c r="T21" s="517"/>
      <c r="U21" s="517"/>
      <c r="V21" s="517"/>
      <c r="W21" s="517"/>
      <c r="X21" s="517"/>
      <c r="Y21" s="214"/>
    </row>
    <row r="22" spans="2:25" x14ac:dyDescent="0.2">
      <c r="B22" s="213"/>
      <c r="D22" s="243" t="s">
        <v>319</v>
      </c>
      <c r="F22" s="548">
        <v>0.5</v>
      </c>
      <c r="G22" s="84">
        <v>48</v>
      </c>
      <c r="I22" s="20" t="s">
        <v>196</v>
      </c>
      <c r="L22" s="415">
        <v>150</v>
      </c>
      <c r="M22" s="144">
        <f>M5</f>
        <v>2009</v>
      </c>
      <c r="N22" s="18"/>
      <c r="Q22" s="140"/>
      <c r="R22" s="140"/>
      <c r="Y22" s="215"/>
    </row>
    <row r="23" spans="2:25" x14ac:dyDescent="0.2">
      <c r="B23" s="213"/>
      <c r="D23" s="243" t="s">
        <v>509</v>
      </c>
      <c r="F23" s="548">
        <v>1</v>
      </c>
      <c r="G23" s="84">
        <f>'R&amp;D'!V20</f>
        <v>753.133376</v>
      </c>
      <c r="L23" s="144" t="s">
        <v>658</v>
      </c>
      <c r="M23" s="55"/>
      <c r="N23" s="144" t="s">
        <v>590</v>
      </c>
      <c r="O23" s="55"/>
      <c r="P23" s="144" t="s">
        <v>659</v>
      </c>
      <c r="R23" s="144" t="s">
        <v>4</v>
      </c>
      <c r="Y23" s="215"/>
    </row>
    <row r="24" spans="2:25" x14ac:dyDescent="0.2">
      <c r="B24" s="213"/>
      <c r="C24" s="6"/>
      <c r="D24" s="243" t="s">
        <v>510</v>
      </c>
      <c r="F24" s="548">
        <v>1</v>
      </c>
      <c r="G24" s="84">
        <f>'R&amp;D'!V21</f>
        <v>69.981392</v>
      </c>
      <c r="I24" s="244" t="s">
        <v>660</v>
      </c>
      <c r="L24" s="415">
        <v>0</v>
      </c>
      <c r="N24" s="415">
        <v>25</v>
      </c>
      <c r="O24" s="55">
        <v>2014</v>
      </c>
      <c r="P24" s="415">
        <v>25</v>
      </c>
      <c r="Q24" s="55">
        <v>2010</v>
      </c>
      <c r="R24" s="874">
        <f>L24+N24+P24</f>
        <v>50</v>
      </c>
      <c r="Y24" s="215"/>
    </row>
    <row r="25" spans="2:25" x14ac:dyDescent="0.2">
      <c r="B25" s="213"/>
      <c r="D25" s="243" t="s">
        <v>511</v>
      </c>
      <c r="F25" s="548">
        <v>0.5</v>
      </c>
      <c r="G25" s="690">
        <f>'R&amp;D'!V28</f>
        <v>30.588560000000005</v>
      </c>
      <c r="I25" s="244" t="s">
        <v>656</v>
      </c>
      <c r="J25" s="514"/>
      <c r="K25" s="244" t="s">
        <v>295</v>
      </c>
      <c r="L25" s="415">
        <v>10</v>
      </c>
      <c r="M25" s="55">
        <v>2010</v>
      </c>
      <c r="N25" s="415">
        <v>25</v>
      </c>
      <c r="O25" s="55">
        <v>2014</v>
      </c>
      <c r="P25" s="415">
        <v>10</v>
      </c>
      <c r="Q25" s="55">
        <v>2012</v>
      </c>
      <c r="R25" s="874">
        <f t="shared" ref="R25:R30" si="5">L25+N25+P25</f>
        <v>45</v>
      </c>
      <c r="Y25" s="215"/>
    </row>
    <row r="26" spans="2:25" x14ac:dyDescent="0.2">
      <c r="B26" s="213"/>
      <c r="E26" s="244" t="s">
        <v>315</v>
      </c>
      <c r="G26" s="687">
        <f>SUM(G22:G25)</f>
        <v>901.70332800000006</v>
      </c>
      <c r="I26" s="244"/>
      <c r="J26" s="514"/>
      <c r="K26" s="244" t="s">
        <v>282</v>
      </c>
      <c r="L26" s="415">
        <v>5</v>
      </c>
      <c r="M26" s="55">
        <v>2014</v>
      </c>
      <c r="N26" s="415">
        <v>20</v>
      </c>
      <c r="O26" s="55">
        <v>2014</v>
      </c>
      <c r="P26" s="415">
        <v>5</v>
      </c>
      <c r="Q26" s="55">
        <v>2012</v>
      </c>
      <c r="R26" s="874">
        <f t="shared" si="5"/>
        <v>30</v>
      </c>
      <c r="Y26" s="215"/>
    </row>
    <row r="27" spans="2:25" x14ac:dyDescent="0.2">
      <c r="B27" s="213"/>
      <c r="D27" s="255" t="s">
        <v>515</v>
      </c>
      <c r="E27" s="171"/>
      <c r="F27" s="171"/>
      <c r="G27" s="691">
        <f>'R&amp;D'!E37</f>
        <v>862.40904799999998</v>
      </c>
      <c r="I27" s="244"/>
      <c r="K27" s="244" t="s">
        <v>362</v>
      </c>
      <c r="L27" s="415">
        <v>5</v>
      </c>
      <c r="M27" s="55">
        <v>2014</v>
      </c>
      <c r="N27" s="415">
        <v>10</v>
      </c>
      <c r="O27" s="55">
        <v>2014</v>
      </c>
      <c r="P27" s="415">
        <v>5</v>
      </c>
      <c r="Q27" s="55">
        <v>2013</v>
      </c>
      <c r="R27" s="874">
        <f t="shared" si="5"/>
        <v>20</v>
      </c>
      <c r="Y27" s="215"/>
    </row>
    <row r="28" spans="2:25" x14ac:dyDescent="0.2">
      <c r="B28" s="213"/>
      <c r="D28" s="255" t="s">
        <v>516</v>
      </c>
      <c r="E28" s="171"/>
      <c r="F28" s="256"/>
      <c r="G28" s="691">
        <f>'R&amp;D'!E38</f>
        <v>39.294280000000043</v>
      </c>
      <c r="I28" s="244" t="s">
        <v>657</v>
      </c>
      <c r="K28" s="244" t="s">
        <v>295</v>
      </c>
      <c r="L28" s="415">
        <v>40</v>
      </c>
      <c r="M28" s="55">
        <v>2014</v>
      </c>
      <c r="N28" s="415">
        <v>65</v>
      </c>
      <c r="O28" s="55">
        <v>2014</v>
      </c>
      <c r="P28" s="415">
        <v>40</v>
      </c>
      <c r="Q28" s="55">
        <v>2012</v>
      </c>
      <c r="R28" s="874">
        <f t="shared" si="5"/>
        <v>145</v>
      </c>
      <c r="S28" s="11"/>
      <c r="T28" s="11"/>
      <c r="U28" s="11"/>
      <c r="V28" s="140"/>
      <c r="Y28" s="215"/>
    </row>
    <row r="29" spans="2:25" x14ac:dyDescent="0.2">
      <c r="B29" s="213"/>
      <c r="C29" s="31"/>
      <c r="I29" s="244"/>
      <c r="K29" s="244" t="s">
        <v>282</v>
      </c>
      <c r="L29" s="415">
        <v>15</v>
      </c>
      <c r="M29" s="55">
        <v>2014</v>
      </c>
      <c r="N29" s="415">
        <v>30</v>
      </c>
      <c r="O29" s="55">
        <v>2014</v>
      </c>
      <c r="P29" s="415">
        <v>15</v>
      </c>
      <c r="Q29" s="55">
        <v>2013</v>
      </c>
      <c r="R29" s="874">
        <f t="shared" si="5"/>
        <v>60</v>
      </c>
      <c r="S29" s="11"/>
      <c r="T29" s="11"/>
      <c r="U29" s="11"/>
      <c r="Y29" s="215"/>
    </row>
    <row r="30" spans="2:25" x14ac:dyDescent="0.2">
      <c r="B30" s="213"/>
      <c r="C30" s="31"/>
      <c r="K30" s="244" t="s">
        <v>362</v>
      </c>
      <c r="L30" s="415">
        <v>15</v>
      </c>
      <c r="M30" s="55">
        <v>2014</v>
      </c>
      <c r="N30" s="415">
        <v>20</v>
      </c>
      <c r="O30" s="55">
        <v>2014</v>
      </c>
      <c r="P30" s="415">
        <v>15</v>
      </c>
      <c r="Q30" s="55"/>
      <c r="R30" s="874">
        <f t="shared" si="5"/>
        <v>50</v>
      </c>
      <c r="S30" s="11"/>
      <c r="T30" s="11"/>
      <c r="U30" s="11"/>
      <c r="Y30" s="215"/>
    </row>
    <row r="31" spans="2:25" x14ac:dyDescent="0.2">
      <c r="B31" s="213"/>
      <c r="C31" s="6" t="s">
        <v>168</v>
      </c>
      <c r="E31" s="6"/>
      <c r="G31" s="8"/>
      <c r="I31" s="20"/>
      <c r="K31" s="244" t="s">
        <v>4</v>
      </c>
      <c r="L31" s="687">
        <f>SUM(L24:L30)</f>
        <v>90</v>
      </c>
      <c r="M31" s="51"/>
      <c r="N31" s="687">
        <f>SUM(N24:N30)</f>
        <v>195</v>
      </c>
      <c r="O31" s="386"/>
      <c r="P31" s="687">
        <f>SUM(P24:P30)</f>
        <v>115</v>
      </c>
      <c r="Q31" s="52"/>
      <c r="R31" s="687">
        <f>L31+N31+P31</f>
        <v>400</v>
      </c>
      <c r="S31" s="52"/>
      <c r="T31" s="11"/>
      <c r="U31" s="11"/>
      <c r="Y31" s="215"/>
    </row>
    <row r="32" spans="2:25" x14ac:dyDescent="0.2">
      <c r="B32" s="213"/>
      <c r="C32" s="31"/>
      <c r="E32" s="244" t="s">
        <v>349</v>
      </c>
      <c r="F32" s="769">
        <v>400</v>
      </c>
      <c r="G32" s="416">
        <v>0.1</v>
      </c>
      <c r="I32" s="20" t="s">
        <v>266</v>
      </c>
      <c r="J32" s="215"/>
      <c r="K32" s="769">
        <v>400</v>
      </c>
      <c r="L32" s="415">
        <v>25</v>
      </c>
      <c r="M32" s="11"/>
      <c r="N32" s="11"/>
      <c r="O32" s="11"/>
      <c r="P32" s="54"/>
      <c r="Q32" s="52"/>
      <c r="R32" s="52"/>
      <c r="S32" s="52"/>
      <c r="T32" s="11"/>
      <c r="U32" s="11"/>
      <c r="Y32" s="215"/>
    </row>
    <row r="33" spans="2:26" x14ac:dyDescent="0.2">
      <c r="B33" s="213"/>
      <c r="C33" s="31"/>
      <c r="E33" s="244" t="s">
        <v>353</v>
      </c>
      <c r="F33" s="769">
        <v>800</v>
      </c>
      <c r="G33" s="416">
        <v>0.12</v>
      </c>
      <c r="I33" s="20" t="s">
        <v>266</v>
      </c>
      <c r="J33" s="215"/>
      <c r="K33" s="769">
        <v>800</v>
      </c>
      <c r="L33" s="415">
        <v>50</v>
      </c>
      <c r="M33" s="11"/>
      <c r="N33" s="11"/>
      <c r="O33" s="11"/>
      <c r="P33" s="54"/>
      <c r="Q33" s="52"/>
      <c r="R33" s="52"/>
      <c r="S33" s="52"/>
      <c r="T33" s="11"/>
      <c r="U33" s="11"/>
      <c r="Y33" s="215"/>
    </row>
    <row r="34" spans="2:26" x14ac:dyDescent="0.2">
      <c r="B34" s="213"/>
      <c r="C34" s="31" t="s">
        <v>346</v>
      </c>
      <c r="E34" s="244" t="s">
        <v>355</v>
      </c>
      <c r="F34" s="769">
        <v>1200</v>
      </c>
      <c r="G34" s="416">
        <v>0.14000000000000001</v>
      </c>
      <c r="I34" s="20" t="s">
        <v>266</v>
      </c>
      <c r="J34" s="215"/>
      <c r="K34" s="769">
        <v>1200</v>
      </c>
      <c r="L34" s="415">
        <v>75</v>
      </c>
      <c r="M34" s="11"/>
      <c r="N34" s="11"/>
      <c r="O34" s="11"/>
      <c r="P34" s="54"/>
      <c r="Q34" s="52"/>
      <c r="R34" s="52"/>
      <c r="S34" s="52"/>
      <c r="T34" s="11"/>
      <c r="U34" s="11"/>
      <c r="Y34" s="215"/>
    </row>
    <row r="35" spans="2:26" x14ac:dyDescent="0.2">
      <c r="B35" s="213"/>
      <c r="C35" s="31"/>
      <c r="E35" s="244" t="s">
        <v>350</v>
      </c>
      <c r="F35" s="769">
        <v>1600</v>
      </c>
      <c r="G35" s="416">
        <v>0.16</v>
      </c>
      <c r="I35" s="20" t="s">
        <v>266</v>
      </c>
      <c r="J35" s="215"/>
      <c r="K35" s="769">
        <v>1600</v>
      </c>
      <c r="L35" s="415">
        <v>100</v>
      </c>
      <c r="Y35" s="215"/>
    </row>
    <row r="36" spans="2:26" x14ac:dyDescent="0.2">
      <c r="B36" s="213"/>
      <c r="C36" s="31"/>
      <c r="E36" s="244"/>
      <c r="F36" s="244"/>
      <c r="G36" s="244"/>
      <c r="I36" s="20"/>
      <c r="L36" s="687">
        <f>SUM(L32:L35)</f>
        <v>250</v>
      </c>
      <c r="Y36" s="215"/>
    </row>
    <row r="37" spans="2:26" x14ac:dyDescent="0.2">
      <c r="B37" s="213"/>
      <c r="C37" s="31"/>
      <c r="E37" s="244"/>
      <c r="F37" s="517"/>
      <c r="G37" s="517"/>
      <c r="H37" s="517"/>
      <c r="I37" s="517"/>
      <c r="J37" s="517"/>
      <c r="K37" s="517"/>
      <c r="L37" s="517" t="s">
        <v>4</v>
      </c>
      <c r="M37" s="517">
        <f>Y2+1</f>
        <v>2009</v>
      </c>
      <c r="N37" s="517">
        <f t="shared" ref="N37" si="6">M37+1</f>
        <v>2010</v>
      </c>
      <c r="O37" s="517">
        <f t="shared" ref="O37" si="7">N37+1</f>
        <v>2011</v>
      </c>
      <c r="P37" s="517">
        <f t="shared" ref="P37" si="8">O37+1</f>
        <v>2012</v>
      </c>
      <c r="Q37" s="517">
        <f t="shared" ref="Q37" si="9">P37+1</f>
        <v>2013</v>
      </c>
      <c r="R37" s="517">
        <f t="shared" ref="R37" si="10">Q37+1</f>
        <v>2014</v>
      </c>
      <c r="S37" s="517">
        <f t="shared" ref="S37" si="11">R37+1</f>
        <v>2015</v>
      </c>
      <c r="T37" s="517">
        <f t="shared" ref="T37" si="12">S37+1</f>
        <v>2016</v>
      </c>
      <c r="U37" s="517">
        <f t="shared" ref="U37" si="13">T37+1</f>
        <v>2017</v>
      </c>
      <c r="V37" s="517">
        <f t="shared" ref="V37" si="14">U37+1</f>
        <v>2018</v>
      </c>
      <c r="W37" s="517">
        <f t="shared" ref="W37" si="15">V37+1</f>
        <v>2019</v>
      </c>
      <c r="X37" s="517">
        <f t="shared" ref="X37" si="16">W37+1</f>
        <v>2020</v>
      </c>
      <c r="Y37" s="214">
        <f t="shared" ref="Y37" si="17">X37+1</f>
        <v>2021</v>
      </c>
      <c r="Z37" s="244"/>
    </row>
    <row r="38" spans="2:26" ht="15.75" x14ac:dyDescent="0.25">
      <c r="B38" s="213"/>
      <c r="C38" s="31"/>
      <c r="E38" s="244"/>
      <c r="F38" s="517"/>
      <c r="G38" s="517"/>
      <c r="H38" s="517"/>
      <c r="I38" s="517"/>
      <c r="J38" s="452" t="s">
        <v>668</v>
      </c>
      <c r="K38" s="257"/>
      <c r="L38" s="258">
        <f>SUM(M38:Y38)</f>
        <v>535</v>
      </c>
      <c r="M38" s="868">
        <f>L22</f>
        <v>150</v>
      </c>
      <c r="N38" s="868">
        <f>L25+P24</f>
        <v>35</v>
      </c>
      <c r="O38" s="144"/>
      <c r="P38" s="868">
        <f>P25+P26+P28</f>
        <v>55</v>
      </c>
      <c r="Q38" s="868">
        <f>P27+P29</f>
        <v>20</v>
      </c>
      <c r="R38" s="868">
        <f>N31+L31-L25</f>
        <v>275</v>
      </c>
      <c r="S38" s="144"/>
      <c r="T38" s="144"/>
      <c r="U38" s="144"/>
      <c r="V38" s="144"/>
      <c r="W38" s="144"/>
      <c r="X38" s="144"/>
      <c r="Y38" s="876"/>
    </row>
    <row r="39" spans="2:26" ht="15.75" x14ac:dyDescent="0.25">
      <c r="B39" s="213"/>
      <c r="J39" s="869" t="s">
        <v>233</v>
      </c>
      <c r="K39" s="867"/>
      <c r="L39" s="258">
        <f>SUM(M39:Y39)</f>
        <v>250</v>
      </c>
      <c r="M39" s="866">
        <f t="shared" ref="M39:P39" si="18">IF(AND(M$8&gt;=$K32,L$8&lt;$K32),$L32,0)+IF(AND(M$8&gt;=$K33,L$8&lt;$K33),$L33,0)+IF(AND(M$8&gt;=$K34,L$8&lt;$K34),$L34,0)+IF(AND(M$8&gt;=$K35,L$8&lt;$K35),$L35,0)</f>
        <v>0</v>
      </c>
      <c r="N39" s="866">
        <f t="shared" si="18"/>
        <v>0</v>
      </c>
      <c r="O39" s="866">
        <f t="shared" si="18"/>
        <v>0</v>
      </c>
      <c r="P39" s="866">
        <f t="shared" si="18"/>
        <v>0</v>
      </c>
      <c r="Q39" s="866">
        <f>IF(AND(Q$8&gt;=$K32,P$8&lt;$K32),$L32,0)+IF(AND(Q$8&gt;=$K33,P$8&lt;$K33),$L33,0)+IF(AND(Q$8&gt;=$K34,P$8&lt;$K34),$L34,0)+IF(AND(Q$8&gt;=$K35,P$8&lt;$K35),$L35,0)</f>
        <v>25</v>
      </c>
      <c r="R39" s="866">
        <f t="shared" ref="R39:Y39" si="19">IF(AND(R$8&gt;=$K32,Q$8&lt;$K32),$L32,0)+IF(AND(R$8&gt;=$K33,Q$8&lt;$K33),$L33,0)+IF(AND(R$8&gt;=$K34,Q$8&lt;$K34),$L34,0)+IF(AND(R$8&gt;=$K35,Q$8&lt;$K35),$L35,0)</f>
        <v>50</v>
      </c>
      <c r="S39" s="866">
        <f t="shared" si="19"/>
        <v>175</v>
      </c>
      <c r="T39" s="866">
        <f t="shared" si="19"/>
        <v>0</v>
      </c>
      <c r="U39" s="866">
        <f t="shared" si="19"/>
        <v>0</v>
      </c>
      <c r="V39" s="866">
        <f t="shared" si="19"/>
        <v>0</v>
      </c>
      <c r="W39" s="866">
        <f t="shared" si="19"/>
        <v>0</v>
      </c>
      <c r="X39" s="866">
        <f t="shared" si="19"/>
        <v>0</v>
      </c>
      <c r="Y39" s="877">
        <f t="shared" si="19"/>
        <v>0</v>
      </c>
    </row>
    <row r="40" spans="2:26" x14ac:dyDescent="0.2">
      <c r="B40" s="213"/>
      <c r="G40" s="8"/>
      <c r="I40" s="255" t="s">
        <v>357</v>
      </c>
      <c r="J40" s="171"/>
      <c r="K40" s="171"/>
      <c r="L40" s="254">
        <f>L38+L39</f>
        <v>785</v>
      </c>
      <c r="M40" s="254">
        <f>M38+M39</f>
        <v>150</v>
      </c>
      <c r="N40" s="254">
        <f t="shared" ref="N40:Y40" si="20">N38+N39</f>
        <v>35</v>
      </c>
      <c r="O40" s="254">
        <f t="shared" si="20"/>
        <v>0</v>
      </c>
      <c r="P40" s="254">
        <f t="shared" si="20"/>
        <v>55</v>
      </c>
      <c r="Q40" s="254">
        <f t="shared" si="20"/>
        <v>45</v>
      </c>
      <c r="R40" s="254">
        <f t="shared" si="20"/>
        <v>325</v>
      </c>
      <c r="S40" s="254">
        <f t="shared" si="20"/>
        <v>175</v>
      </c>
      <c r="T40" s="254">
        <f t="shared" si="20"/>
        <v>0</v>
      </c>
      <c r="U40" s="254">
        <f t="shared" si="20"/>
        <v>0</v>
      </c>
      <c r="V40" s="254">
        <f t="shared" si="20"/>
        <v>0</v>
      </c>
      <c r="W40" s="254">
        <f t="shared" si="20"/>
        <v>0</v>
      </c>
      <c r="X40" s="254">
        <f t="shared" si="20"/>
        <v>0</v>
      </c>
      <c r="Y40" s="878">
        <f t="shared" si="20"/>
        <v>0</v>
      </c>
    </row>
    <row r="41" spans="2:26" ht="12" customHeight="1" x14ac:dyDescent="0.2">
      <c r="B41" s="213"/>
      <c r="C41" s="244" t="s">
        <v>359</v>
      </c>
      <c r="G41" s="8"/>
      <c r="I41" s="255" t="s">
        <v>358</v>
      </c>
      <c r="J41" s="171"/>
      <c r="K41" s="171"/>
      <c r="L41" s="254">
        <f>SUM(M41:W41)</f>
        <v>2044.2325049990964</v>
      </c>
      <c r="M41" s="254"/>
      <c r="N41" s="254"/>
      <c r="O41" s="254"/>
      <c r="P41" s="254">
        <f>'Lee &amp; Lor'!H71</f>
        <v>7.1165834772232133</v>
      </c>
      <c r="Q41" s="254">
        <f>'Lee &amp; Lor'!I71</f>
        <v>45.305741479738003</v>
      </c>
      <c r="R41" s="254">
        <f>'Lee &amp; Lor'!J71</f>
        <v>121.65039456030127</v>
      </c>
      <c r="S41" s="254">
        <f>'Lee &amp; Lor'!K71</f>
        <v>185.49845272079648</v>
      </c>
      <c r="T41" s="254">
        <f>'Lee &amp; Lor'!L71</f>
        <v>286.52451820184751</v>
      </c>
      <c r="U41" s="254">
        <f>'Lee &amp; Lor'!M71</f>
        <v>378.4876868374912</v>
      </c>
      <c r="V41" s="254">
        <f>'Lee &amp; Lor'!N71</f>
        <v>469.64645655768607</v>
      </c>
      <c r="W41" s="254">
        <f>'Lee &amp; Lor'!O71</f>
        <v>550.00267116401255</v>
      </c>
      <c r="X41" s="254">
        <f>'Lee &amp; Lor'!P71</f>
        <v>632.21407382088569</v>
      </c>
      <c r="Y41" s="878">
        <f>'Lee &amp; Lor'!Q71</f>
        <v>683.60240006635524</v>
      </c>
    </row>
    <row r="42" spans="2:26" ht="12.75" customHeight="1" x14ac:dyDescent="0.2">
      <c r="B42" s="213"/>
      <c r="C42" s="6" t="s">
        <v>140</v>
      </c>
      <c r="E42" s="6"/>
      <c r="G42" s="74"/>
      <c r="H42" s="56"/>
      <c r="I42" s="56"/>
      <c r="J42" s="56"/>
      <c r="K42" s="56"/>
      <c r="L42" s="83">
        <f>L41/SUM(Q8:V8)</f>
        <v>0.16307473187295979</v>
      </c>
      <c r="M42" s="56"/>
      <c r="N42" s="56"/>
      <c r="O42" s="783" t="s">
        <v>594</v>
      </c>
      <c r="P42" s="784">
        <f t="shared" ref="P42:Y42" si="21">P41/P8</f>
        <v>0.1</v>
      </c>
      <c r="Q42" s="784">
        <f t="shared" si="21"/>
        <v>0.10199068292925059</v>
      </c>
      <c r="R42" s="784">
        <f t="shared" si="21"/>
        <v>0.11693106146300954</v>
      </c>
      <c r="S42" s="784">
        <f t="shared" si="21"/>
        <v>9.9764392600663387E-2</v>
      </c>
      <c r="T42" s="784">
        <f t="shared" si="21"/>
        <v>0.11503413420871698</v>
      </c>
      <c r="U42" s="784">
        <f t="shared" si="21"/>
        <v>0.12346493402200885</v>
      </c>
      <c r="V42" s="784">
        <f t="shared" si="21"/>
        <v>0.12919090661008309</v>
      </c>
      <c r="W42" s="784">
        <f t="shared" si="21"/>
        <v>0.13293062281985826</v>
      </c>
      <c r="X42" s="784">
        <f t="shared" si="21"/>
        <v>0.13592090685950545</v>
      </c>
      <c r="Y42" s="879">
        <f t="shared" si="21"/>
        <v>0.13747618659960625</v>
      </c>
    </row>
    <row r="43" spans="2:26" ht="13.5" customHeight="1" x14ac:dyDescent="0.2">
      <c r="B43" s="213"/>
      <c r="D43" s="138" t="s">
        <v>276</v>
      </c>
      <c r="G43" s="8"/>
      <c r="I43" s="55"/>
      <c r="J43" s="56"/>
      <c r="K43" s="208" t="s">
        <v>198</v>
      </c>
      <c r="P43" s="11"/>
      <c r="Q43" s="56"/>
      <c r="R43" s="56"/>
      <c r="S43" s="56"/>
      <c r="T43" s="56"/>
      <c r="U43" s="56"/>
      <c r="V43" s="56"/>
      <c r="Y43" s="215"/>
    </row>
    <row r="44" spans="2:26" ht="14.25" customHeight="1" x14ac:dyDescent="0.2">
      <c r="B44" s="218"/>
      <c r="C44" s="95"/>
      <c r="D44" s="222" t="s">
        <v>142</v>
      </c>
      <c r="E44" s="95"/>
      <c r="F44" s="95"/>
      <c r="G44" s="95"/>
      <c r="H44" s="223"/>
      <c r="I44" s="223"/>
      <c r="J44" s="224"/>
      <c r="K44" s="225" t="s">
        <v>197</v>
      </c>
      <c r="L44" s="226"/>
      <c r="M44" s="226"/>
      <c r="N44" s="226"/>
      <c r="O44" s="227">
        <v>1</v>
      </c>
      <c r="P44" s="95"/>
      <c r="Q44" s="95"/>
      <c r="R44" s="133"/>
      <c r="S44" s="133"/>
      <c r="T44" s="133"/>
      <c r="U44" s="133"/>
      <c r="V44" s="133"/>
      <c r="W44" s="95"/>
      <c r="X44" s="95"/>
      <c r="Y44" s="880"/>
    </row>
    <row r="45" spans="2:26" x14ac:dyDescent="0.2">
      <c r="B45" s="209" t="s">
        <v>167</v>
      </c>
      <c r="C45" s="228"/>
      <c r="D45" s="210"/>
      <c r="E45" s="210"/>
      <c r="F45" s="418" t="s">
        <v>273</v>
      </c>
      <c r="G45" s="702">
        <v>0.12</v>
      </c>
      <c r="H45" s="233" t="s">
        <v>2</v>
      </c>
      <c r="I45" s="233" t="s">
        <v>169</v>
      </c>
      <c r="J45" s="210"/>
      <c r="K45" s="210"/>
      <c r="L45" s="210"/>
      <c r="M45" s="212">
        <f>M22</f>
        <v>2009</v>
      </c>
      <c r="N45" s="212">
        <f>M45+1</f>
        <v>2010</v>
      </c>
      <c r="O45" s="212">
        <f t="shared" ref="O45:Y45" si="22">N45+1</f>
        <v>2011</v>
      </c>
      <c r="P45" s="212">
        <f t="shared" si="22"/>
        <v>2012</v>
      </c>
      <c r="Q45" s="212">
        <f t="shared" si="22"/>
        <v>2013</v>
      </c>
      <c r="R45" s="212">
        <f t="shared" si="22"/>
        <v>2014</v>
      </c>
      <c r="S45" s="212">
        <f t="shared" si="22"/>
        <v>2015</v>
      </c>
      <c r="T45" s="212">
        <f t="shared" si="22"/>
        <v>2016</v>
      </c>
      <c r="U45" s="212">
        <f t="shared" si="22"/>
        <v>2017</v>
      </c>
      <c r="V45" s="212">
        <f t="shared" si="22"/>
        <v>2018</v>
      </c>
      <c r="W45" s="212">
        <f t="shared" si="22"/>
        <v>2019</v>
      </c>
      <c r="X45" s="212">
        <f t="shared" si="22"/>
        <v>2020</v>
      </c>
      <c r="Y45" s="899">
        <f t="shared" si="22"/>
        <v>2021</v>
      </c>
    </row>
    <row r="46" spans="2:26" x14ac:dyDescent="0.2">
      <c r="B46" s="213"/>
      <c r="C46" s="6"/>
      <c r="D46" s="6" t="s">
        <v>35</v>
      </c>
      <c r="E46" s="6"/>
      <c r="G46" s="73"/>
      <c r="H46" s="140">
        <f>'Lee &amp; Lor'!E31</f>
        <v>5710.4626084605898</v>
      </c>
      <c r="I46" s="297">
        <f>H46/H48</f>
        <v>0.60693975036746795</v>
      </c>
      <c r="J46" s="137"/>
      <c r="L46" s="283" t="s">
        <v>274</v>
      </c>
      <c r="M46" s="168">
        <f>'Lee &amp; Lor'!E30</f>
        <v>-166.47465504000002</v>
      </c>
      <c r="N46" s="168">
        <f>'Lee &amp; Lor'!F30</f>
        <v>-88.840765759999996</v>
      </c>
      <c r="O46" s="168">
        <f>'Lee &amp; Lor'!G30</f>
        <v>-82.946869199999995</v>
      </c>
      <c r="P46" s="168">
        <f>'Lee &amp; Lor'!H30</f>
        <v>-176.64910212245758</v>
      </c>
      <c r="Q46" s="168">
        <f>'Lee &amp; Lor'!I30</f>
        <v>-130.2524683304282</v>
      </c>
      <c r="R46" s="168">
        <f>'Lee &amp; Lor'!J30</f>
        <v>-285.40558934812213</v>
      </c>
      <c r="S46" s="168">
        <f>'Lee &amp; Lor'!K30</f>
        <v>216.86724111550257</v>
      </c>
      <c r="T46" s="168">
        <f>'Lee &amp; Lor'!L30</f>
        <v>757.0073082360334</v>
      </c>
      <c r="U46" s="168">
        <f>'Lee &amp; Lor'!M30</f>
        <v>1083.9051807740721</v>
      </c>
      <c r="V46" s="168">
        <f>'Lee &amp; Lor'!N30</f>
        <v>1370.4117278062135</v>
      </c>
      <c r="W46" s="168">
        <f>'Lee &amp; Lor'!O30</f>
        <v>1635.1951042483004</v>
      </c>
      <c r="X46" s="168">
        <f>'Lee &amp; Lor'!P30</f>
        <v>1883.9286881696935</v>
      </c>
      <c r="Y46" s="903">
        <f>'Lee &amp; Lor'!Q30</f>
        <v>2032.9028502797246</v>
      </c>
    </row>
    <row r="47" spans="2:26" x14ac:dyDescent="0.2">
      <c r="B47" s="213"/>
      <c r="C47" s="6"/>
      <c r="D47" s="6" t="s">
        <v>34</v>
      </c>
      <c r="E47" s="6"/>
      <c r="F47" s="6" t="s">
        <v>48</v>
      </c>
      <c r="G47" s="517"/>
      <c r="H47" s="882">
        <f>'Lee &amp; Lor'!E51</f>
        <v>3698.1526700793725</v>
      </c>
      <c r="I47" s="564">
        <f>H47/H48</f>
        <v>0.393060249632532</v>
      </c>
      <c r="J47" s="137"/>
      <c r="L47" s="283" t="s">
        <v>275</v>
      </c>
      <c r="M47" s="168">
        <f>'Lor Financials'!H30</f>
        <v>130.31642999999997</v>
      </c>
      <c r="N47" s="168">
        <f>'Lor Financials'!I30</f>
        <v>101.84242999999998</v>
      </c>
      <c r="O47" s="168">
        <f>'Lor Financials'!J30</f>
        <v>73.395429999999976</v>
      </c>
      <c r="P47" s="168">
        <f>'Lor Financials'!K30</f>
        <v>131.93837347722319</v>
      </c>
      <c r="Q47" s="168">
        <f>'Lor Financials'!L30</f>
        <v>151.48344495696119</v>
      </c>
      <c r="R47" s="168">
        <f>'Lor Financials'!M30</f>
        <v>457.44697951726243</v>
      </c>
      <c r="S47" s="168">
        <f>'Lor Financials'!N30</f>
        <v>673.10380223805896</v>
      </c>
      <c r="T47" s="168"/>
      <c r="U47" s="168"/>
      <c r="V47" s="168"/>
      <c r="W47" s="168"/>
      <c r="X47" s="168"/>
      <c r="Y47" s="903"/>
    </row>
    <row r="48" spans="2:26" x14ac:dyDescent="0.2">
      <c r="B48" s="218"/>
      <c r="C48" s="95"/>
      <c r="D48" s="60" t="s">
        <v>4</v>
      </c>
      <c r="E48" s="60"/>
      <c r="F48" s="95"/>
      <c r="G48" s="220"/>
      <c r="H48" s="234">
        <f>(H47+H46)</f>
        <v>9408.6152785399627</v>
      </c>
      <c r="I48" s="564">
        <f>I47+I46</f>
        <v>1</v>
      </c>
      <c r="J48" s="223"/>
      <c r="K48" s="250"/>
      <c r="L48" s="223"/>
      <c r="M48" s="133">
        <v>57.467999999999982</v>
      </c>
      <c r="N48" s="133">
        <v>107.72199999999998</v>
      </c>
      <c r="O48" s="133">
        <v>70.140999999999963</v>
      </c>
      <c r="P48" s="133">
        <v>71.302999999999955</v>
      </c>
      <c r="Q48" s="133">
        <v>228.78999999999996</v>
      </c>
      <c r="R48" s="133">
        <v>502.67999999999995</v>
      </c>
      <c r="S48" s="133">
        <v>225.8599999999999</v>
      </c>
      <c r="T48" s="133"/>
      <c r="U48" s="133"/>
      <c r="V48" s="133"/>
      <c r="W48" s="133"/>
      <c r="X48" s="133"/>
      <c r="Y48" s="904"/>
    </row>
    <row r="49" spans="7:25" x14ac:dyDescent="0.2">
      <c r="G49" s="1068" t="s">
        <v>41</v>
      </c>
      <c r="H49" s="1069">
        <f>Project!E33</f>
        <v>9302.5828774307847</v>
      </c>
      <c r="I49" s="56"/>
      <c r="J49" s="137"/>
      <c r="K49" s="137"/>
      <c r="L49" s="137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9"/>
      <c r="X49" s="59"/>
      <c r="Y49" s="59"/>
    </row>
    <row r="50" spans="7:25" x14ac:dyDescent="0.2">
      <c r="G50" s="8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9"/>
      <c r="X50" s="59"/>
      <c r="Y50" s="59"/>
    </row>
    <row r="51" spans="7:25" x14ac:dyDescent="0.2">
      <c r="G51" s="8"/>
    </row>
    <row r="52" spans="7:25" x14ac:dyDescent="0.2">
      <c r="G52" s="8"/>
    </row>
    <row r="53" spans="7:25" x14ac:dyDescent="0.2">
      <c r="G53" s="8"/>
    </row>
    <row r="54" spans="7:25" x14ac:dyDescent="0.2">
      <c r="G54" s="8"/>
    </row>
    <row r="55" spans="7:25" x14ac:dyDescent="0.2">
      <c r="G55" s="8"/>
    </row>
    <row r="56" spans="7:25" x14ac:dyDescent="0.2">
      <c r="G56" s="8"/>
    </row>
    <row r="57" spans="7:25" x14ac:dyDescent="0.2">
      <c r="G57" s="8"/>
    </row>
    <row r="58" spans="7:25" x14ac:dyDescent="0.2">
      <c r="G58" s="8"/>
    </row>
    <row r="59" spans="7:25" x14ac:dyDescent="0.2">
      <c r="G59" s="8"/>
    </row>
    <row r="60" spans="7:25" x14ac:dyDescent="0.2">
      <c r="G60" s="8"/>
    </row>
    <row r="61" spans="7:25" x14ac:dyDescent="0.2">
      <c r="G61" s="8"/>
    </row>
    <row r="62" spans="7:25" x14ac:dyDescent="0.2">
      <c r="G62" s="8"/>
    </row>
    <row r="63" spans="7:25" x14ac:dyDescent="0.2">
      <c r="G63" s="8"/>
    </row>
    <row r="64" spans="7:25" x14ac:dyDescent="0.2">
      <c r="G64" s="8"/>
    </row>
    <row r="65" spans="7:7" x14ac:dyDescent="0.2">
      <c r="G65" s="8"/>
    </row>
    <row r="66" spans="7:7" x14ac:dyDescent="0.2">
      <c r="G66" s="8"/>
    </row>
    <row r="67" spans="7:7" x14ac:dyDescent="0.2">
      <c r="G67" s="8"/>
    </row>
    <row r="68" spans="7:7" x14ac:dyDescent="0.2">
      <c r="G68" s="8"/>
    </row>
    <row r="69" spans="7:7" x14ac:dyDescent="0.2">
      <c r="G69" s="8"/>
    </row>
    <row r="70" spans="7:7" x14ac:dyDescent="0.2">
      <c r="G70" s="8"/>
    </row>
    <row r="71" spans="7:7" x14ac:dyDescent="0.2">
      <c r="G71" s="8"/>
    </row>
    <row r="72" spans="7:7" x14ac:dyDescent="0.2">
      <c r="G72" s="8"/>
    </row>
    <row r="73" spans="7:7" x14ac:dyDescent="0.2">
      <c r="G73" s="8"/>
    </row>
    <row r="74" spans="7:7" x14ac:dyDescent="0.2">
      <c r="G74" s="8"/>
    </row>
    <row r="75" spans="7:7" x14ac:dyDescent="0.2">
      <c r="G75" s="8"/>
    </row>
    <row r="76" spans="7:7" x14ac:dyDescent="0.2">
      <c r="G76" s="8"/>
    </row>
    <row r="77" spans="7:7" x14ac:dyDescent="0.2">
      <c r="G77" s="8"/>
    </row>
    <row r="78" spans="7:7" x14ac:dyDescent="0.2">
      <c r="G78" s="8"/>
    </row>
    <row r="79" spans="7:7" x14ac:dyDescent="0.2">
      <c r="G79" s="8"/>
    </row>
    <row r="90" spans="7:7" s="6" customFormat="1" x14ac:dyDescent="0.2"/>
    <row r="94" spans="7:7" x14ac:dyDescent="0.2">
      <c r="G94" s="8"/>
    </row>
  </sheetData>
  <phoneticPr fontId="0" type="noConversion"/>
  <printOptions gridLines="1"/>
  <pageMargins left="0.36" right="0.28999999999999998" top="1" bottom="0.65" header="0.5" footer="0.5"/>
  <pageSetup scale="60" orientation="landscape" horizontalDpi="300" verticalDpi="300" r:id="rId1"/>
  <headerFooter alignWithMargins="0">
    <oddFooter>&amp;L&amp;F&amp;A&amp;CPLG Copyright&amp;R&amp;D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225"/>
  <sheetViews>
    <sheetView zoomScale="80" zoomScaleNormal="80" workbookViewId="0">
      <pane ySplit="3" topLeftCell="A4" activePane="bottomLeft" state="frozen"/>
      <selection pane="bottomLeft"/>
    </sheetView>
  </sheetViews>
  <sheetFormatPr defaultColWidth="9.140625" defaultRowHeight="12.75" x14ac:dyDescent="0.2"/>
  <cols>
    <col min="1" max="1" width="3.42578125" style="11" customWidth="1"/>
    <col min="2" max="2" width="24.5703125" style="11" customWidth="1"/>
    <col min="3" max="3" width="17.7109375" style="11" customWidth="1"/>
    <col min="4" max="4" width="11.42578125" style="11" customWidth="1"/>
    <col min="5" max="5" width="13.28515625" style="11" customWidth="1"/>
    <col min="6" max="6" width="11.5703125" style="11" customWidth="1"/>
    <col min="7" max="7" width="10.7109375" style="11" customWidth="1"/>
    <col min="8" max="8" width="12.140625" style="11" customWidth="1"/>
    <col min="9" max="9" width="10.5703125" style="11" customWidth="1"/>
    <col min="10" max="10" width="10.7109375" style="11" customWidth="1"/>
    <col min="11" max="11" width="10.28515625" style="11" customWidth="1"/>
    <col min="12" max="12" width="10.5703125" style="11" customWidth="1"/>
    <col min="13" max="13" width="10" style="11" customWidth="1"/>
    <col min="14" max="14" width="10.85546875" style="11" customWidth="1"/>
    <col min="15" max="16" width="11.7109375" style="11" customWidth="1"/>
    <col min="17" max="17" width="10.140625" style="11" customWidth="1"/>
    <col min="18" max="18" width="11.5703125" style="11" customWidth="1"/>
    <col min="19" max="37" width="10.42578125" style="11" customWidth="1"/>
    <col min="38" max="38" width="10.140625" style="11" customWidth="1"/>
    <col min="39" max="39" width="9.85546875" style="11" customWidth="1"/>
    <col min="40" max="40" width="14.140625" style="11" customWidth="1"/>
    <col min="41" max="41" width="13.28515625" style="11" customWidth="1"/>
    <col min="42" max="48" width="12.140625" style="11" customWidth="1"/>
    <col min="49" max="49" width="12.42578125" style="11" customWidth="1"/>
    <col min="50" max="50" width="11.5703125" style="11" customWidth="1"/>
    <col min="51" max="51" width="10.28515625" style="11" bestFit="1" customWidth="1"/>
    <col min="52" max="52" width="11.5703125" style="11" customWidth="1"/>
    <col min="53" max="53" width="10.28515625" style="11" customWidth="1"/>
    <col min="54" max="54" width="10.7109375" style="11" bestFit="1" customWidth="1"/>
    <col min="55" max="56" width="10.28515625" style="11" bestFit="1" customWidth="1"/>
    <col min="57" max="16384" width="9.140625" style="11"/>
  </cols>
  <sheetData>
    <row r="1" spans="1:51" ht="15.75" x14ac:dyDescent="0.25">
      <c r="A1" s="121" t="s">
        <v>37</v>
      </c>
      <c r="C1" s="198" t="s">
        <v>143</v>
      </c>
      <c r="D1" s="686"/>
      <c r="E1" s="686"/>
      <c r="F1" s="686"/>
      <c r="L1" s="89"/>
      <c r="M1" s="291"/>
      <c r="N1" s="77"/>
      <c r="Z1" s="51"/>
      <c r="AD1" s="282"/>
      <c r="AE1" s="51"/>
      <c r="AL1" s="89" t="s">
        <v>171</v>
      </c>
      <c r="AW1" s="90"/>
      <c r="AY1" s="69"/>
    </row>
    <row r="2" spans="1:51" ht="15.75" x14ac:dyDescent="0.25">
      <c r="A2" s="121"/>
      <c r="B2" s="22" t="s">
        <v>86</v>
      </c>
      <c r="C2"/>
      <c r="D2"/>
      <c r="E2"/>
      <c r="F2"/>
      <c r="G2"/>
      <c r="H2"/>
      <c r="I2"/>
      <c r="J2" s="5">
        <v>1</v>
      </c>
      <c r="K2" s="5">
        <v>2</v>
      </c>
      <c r="L2" s="5">
        <v>3</v>
      </c>
      <c r="M2" s="5">
        <v>4</v>
      </c>
      <c r="N2" s="5">
        <v>5</v>
      </c>
      <c r="O2" s="5">
        <v>6</v>
      </c>
      <c r="P2" s="5">
        <v>7</v>
      </c>
      <c r="Q2" s="5">
        <v>8</v>
      </c>
      <c r="R2" s="5">
        <v>9</v>
      </c>
      <c r="S2" s="5">
        <v>10</v>
      </c>
      <c r="T2" s="5">
        <f>S2+1</f>
        <v>11</v>
      </c>
      <c r="U2" s="5">
        <f t="shared" ref="U2:Y2" si="0">T2+1</f>
        <v>12</v>
      </c>
      <c r="V2" s="5">
        <f t="shared" si="0"/>
        <v>13</v>
      </c>
      <c r="W2" s="5">
        <f t="shared" si="0"/>
        <v>14</v>
      </c>
      <c r="X2" s="5">
        <f t="shared" si="0"/>
        <v>15</v>
      </c>
      <c r="Y2" s="5">
        <f t="shared" si="0"/>
        <v>16</v>
      </c>
      <c r="Z2" s="51"/>
      <c r="AA2" t="s">
        <v>283</v>
      </c>
      <c r="AB2" s="5"/>
      <c r="AC2"/>
      <c r="AD2"/>
      <c r="AE2"/>
      <c r="AF2"/>
      <c r="AG2"/>
      <c r="AH2"/>
      <c r="AI2"/>
      <c r="AL2" s="89"/>
      <c r="AW2" s="90"/>
      <c r="AY2" s="69"/>
    </row>
    <row r="3" spans="1:51" ht="15.75" x14ac:dyDescent="0.25">
      <c r="A3" s="121"/>
      <c r="B3" s="570" t="s">
        <v>56</v>
      </c>
      <c r="C3" s="713">
        <v>2005</v>
      </c>
      <c r="D3" s="714">
        <v>2006</v>
      </c>
      <c r="E3" s="714">
        <v>2007</v>
      </c>
      <c r="F3" s="714">
        <v>2008</v>
      </c>
      <c r="G3" s="714">
        <v>2009</v>
      </c>
      <c r="H3" s="430">
        <v>2010</v>
      </c>
      <c r="I3" s="430">
        <v>2011</v>
      </c>
      <c r="J3" s="430">
        <v>2012</v>
      </c>
      <c r="K3" s="430">
        <v>2013</v>
      </c>
      <c r="L3" s="430">
        <v>2014</v>
      </c>
      <c r="M3" s="430">
        <v>2015</v>
      </c>
      <c r="N3" s="430">
        <v>2016</v>
      </c>
      <c r="O3" s="430">
        <v>2017</v>
      </c>
      <c r="P3" s="430">
        <v>2018</v>
      </c>
      <c r="Q3" s="430">
        <v>2019</v>
      </c>
      <c r="R3" s="430">
        <v>2020</v>
      </c>
      <c r="S3" s="430">
        <v>2021</v>
      </c>
      <c r="T3" s="430">
        <v>2022</v>
      </c>
      <c r="U3" s="430">
        <v>2023</v>
      </c>
      <c r="V3" s="430">
        <v>2024</v>
      </c>
      <c r="W3" s="430">
        <v>2025</v>
      </c>
      <c r="X3" s="430">
        <v>2026</v>
      </c>
      <c r="Y3" s="430">
        <v>2027</v>
      </c>
      <c r="Z3" s="51"/>
      <c r="AA3" s="5"/>
      <c r="AB3" s="5"/>
      <c r="AC3" s="5"/>
      <c r="AD3"/>
      <c r="AE3"/>
      <c r="AF3"/>
      <c r="AG3"/>
      <c r="AH3"/>
      <c r="AI3"/>
      <c r="AL3" s="89"/>
      <c r="AW3" s="90"/>
      <c r="AY3" s="69"/>
    </row>
    <row r="4" spans="1:51" ht="15.75" x14ac:dyDescent="0.25">
      <c r="A4" s="121"/>
      <c r="B4" s="570"/>
      <c r="C4" s="571"/>
      <c r="D4" s="572"/>
      <c r="E4" s="572"/>
      <c r="F4" s="572"/>
      <c r="G4" s="572"/>
      <c r="H4" s="5"/>
      <c r="I4" s="5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"/>
      <c r="AB4" s="5"/>
      <c r="AC4" s="5"/>
      <c r="AD4"/>
      <c r="AE4"/>
      <c r="AF4"/>
      <c r="AG4"/>
      <c r="AH4"/>
      <c r="AI4"/>
      <c r="AL4" s="89"/>
      <c r="AW4" s="90"/>
      <c r="AY4" s="69"/>
    </row>
    <row r="5" spans="1:51" ht="15.75" x14ac:dyDescent="0.25">
      <c r="A5" s="121"/>
      <c r="B5" s="570" t="s">
        <v>366</v>
      </c>
      <c r="C5"/>
      <c r="D5" s="573" t="s">
        <v>367</v>
      </c>
      <c r="E5" s="574"/>
      <c r="F5" s="575"/>
      <c r="G5" s="573" t="s">
        <v>368</v>
      </c>
      <c r="H5" s="574"/>
      <c r="I5" s="575"/>
      <c r="AA5"/>
      <c r="AB5"/>
      <c r="AC5"/>
      <c r="AD5"/>
      <c r="AE5"/>
      <c r="AF5"/>
      <c r="AG5"/>
      <c r="AH5"/>
      <c r="AI5"/>
      <c r="AL5" s="89"/>
      <c r="AW5" s="90"/>
      <c r="AY5" s="69"/>
    </row>
    <row r="6" spans="1:51" ht="15.75" x14ac:dyDescent="0.25">
      <c r="A6" s="121"/>
      <c r="B6"/>
      <c r="C6"/>
      <c r="D6" s="576" t="s">
        <v>369</v>
      </c>
      <c r="E6" s="576" t="s">
        <v>370</v>
      </c>
      <c r="F6" s="577" t="s">
        <v>285</v>
      </c>
      <c r="G6" s="578"/>
      <c r="H6" s="287"/>
      <c r="I6" s="288" t="s">
        <v>371</v>
      </c>
      <c r="J6" s="260"/>
      <c r="K6" s="260"/>
      <c r="L6" s="260"/>
      <c r="M6" s="260"/>
      <c r="N6" s="260"/>
      <c r="O6" s="260"/>
      <c r="P6" s="260"/>
      <c r="Q6" s="260"/>
      <c r="R6" s="260"/>
      <c r="S6" s="260"/>
      <c r="T6" s="260"/>
      <c r="U6" s="260"/>
      <c r="V6" s="260"/>
      <c r="W6" s="260"/>
      <c r="X6" s="260"/>
      <c r="Y6" s="260"/>
      <c r="AA6" s="580" t="s">
        <v>372</v>
      </c>
      <c r="AB6" s="5"/>
      <c r="AC6" s="5"/>
      <c r="AD6"/>
      <c r="AE6"/>
      <c r="AF6"/>
      <c r="AG6"/>
      <c r="AH6"/>
      <c r="AI6"/>
      <c r="AL6" s="89"/>
      <c r="AW6" s="90"/>
      <c r="AY6" s="69"/>
    </row>
    <row r="7" spans="1:51" ht="15.75" x14ac:dyDescent="0.25">
      <c r="A7" s="121"/>
      <c r="B7" t="s">
        <v>373</v>
      </c>
      <c r="C7" t="s">
        <v>295</v>
      </c>
      <c r="D7" s="581">
        <v>233159</v>
      </c>
      <c r="E7" s="582">
        <v>30383</v>
      </c>
      <c r="F7" s="460">
        <v>0</v>
      </c>
      <c r="G7" s="681" t="s">
        <v>374</v>
      </c>
      <c r="H7" s="11" t="s">
        <v>375</v>
      </c>
      <c r="I7" s="679">
        <v>1</v>
      </c>
      <c r="J7" s="437">
        <f>$I$7</f>
        <v>1</v>
      </c>
      <c r="K7" s="437">
        <f t="shared" ref="K7:Y7" si="1">$I$7</f>
        <v>1</v>
      </c>
      <c r="L7" s="437">
        <f t="shared" si="1"/>
        <v>1</v>
      </c>
      <c r="M7" s="437">
        <f t="shared" si="1"/>
        <v>1</v>
      </c>
      <c r="N7" s="437">
        <f t="shared" si="1"/>
        <v>1</v>
      </c>
      <c r="O7" s="437">
        <f t="shared" si="1"/>
        <v>1</v>
      </c>
      <c r="P7" s="437">
        <f t="shared" si="1"/>
        <v>1</v>
      </c>
      <c r="Q7" s="437">
        <f t="shared" si="1"/>
        <v>1</v>
      </c>
      <c r="R7" s="437">
        <f t="shared" si="1"/>
        <v>1</v>
      </c>
      <c r="S7" s="437">
        <f t="shared" si="1"/>
        <v>1</v>
      </c>
      <c r="T7" s="437">
        <f t="shared" si="1"/>
        <v>1</v>
      </c>
      <c r="U7" s="437">
        <f t="shared" si="1"/>
        <v>1</v>
      </c>
      <c r="V7" s="437">
        <f t="shared" si="1"/>
        <v>1</v>
      </c>
      <c r="W7" s="437">
        <f t="shared" si="1"/>
        <v>1</v>
      </c>
      <c r="X7" s="437">
        <f t="shared" si="1"/>
        <v>1</v>
      </c>
      <c r="Y7" s="437">
        <f t="shared" si="1"/>
        <v>1</v>
      </c>
      <c r="Z7" s="260"/>
      <c r="AA7" t="s">
        <v>376</v>
      </c>
      <c r="AB7" s="5"/>
      <c r="AC7" s="5"/>
      <c r="AD7"/>
      <c r="AE7"/>
      <c r="AF7"/>
      <c r="AG7"/>
      <c r="AH7"/>
      <c r="AI7"/>
      <c r="AL7" s="89"/>
      <c r="AW7" s="90"/>
      <c r="AY7" s="69"/>
    </row>
    <row r="8" spans="1:51" ht="15.75" x14ac:dyDescent="0.25">
      <c r="A8" s="121"/>
      <c r="B8"/>
      <c r="C8" t="s">
        <v>296</v>
      </c>
      <c r="D8" s="583">
        <v>345195</v>
      </c>
      <c r="E8" s="584">
        <v>71789</v>
      </c>
      <c r="F8" s="611">
        <v>0</v>
      </c>
      <c r="G8" s="681" t="s">
        <v>377</v>
      </c>
      <c r="H8" s="11" t="s">
        <v>375</v>
      </c>
      <c r="I8" s="680">
        <v>1.4999999999999999E-2</v>
      </c>
      <c r="J8" s="437">
        <v>0</v>
      </c>
      <c r="K8" s="437">
        <f>J8+$I$8</f>
        <v>1.4999999999999999E-2</v>
      </c>
      <c r="L8" s="437">
        <f t="shared" ref="L8:S8" si="2">K8+$I$8</f>
        <v>0.03</v>
      </c>
      <c r="M8" s="437">
        <f t="shared" si="2"/>
        <v>4.4999999999999998E-2</v>
      </c>
      <c r="N8" s="437">
        <f t="shared" si="2"/>
        <v>0.06</v>
      </c>
      <c r="O8" s="437">
        <f t="shared" si="2"/>
        <v>7.4999999999999997E-2</v>
      </c>
      <c r="P8" s="437">
        <f t="shared" si="2"/>
        <v>0.09</v>
      </c>
      <c r="Q8" s="437">
        <f t="shared" si="2"/>
        <v>0.105</v>
      </c>
      <c r="R8" s="437">
        <f t="shared" si="2"/>
        <v>0.12</v>
      </c>
      <c r="S8" s="437">
        <f t="shared" si="2"/>
        <v>0.13500000000000001</v>
      </c>
      <c r="T8" s="437">
        <f t="shared" ref="T8" si="3">S8+$I$8</f>
        <v>0.15000000000000002</v>
      </c>
      <c r="U8" s="437">
        <f t="shared" ref="U8" si="4">T8+$I$8</f>
        <v>0.16500000000000004</v>
      </c>
      <c r="V8" s="437">
        <f t="shared" ref="V8" si="5">U8+$I$8</f>
        <v>0.18000000000000005</v>
      </c>
      <c r="W8" s="437">
        <f t="shared" ref="W8" si="6">V8+$I$8</f>
        <v>0.19500000000000006</v>
      </c>
      <c r="X8" s="437">
        <f t="shared" ref="X8" si="7">W8+$I$8</f>
        <v>0.21000000000000008</v>
      </c>
      <c r="Y8" s="437">
        <f t="shared" ref="Y8" si="8">X8+$I$8</f>
        <v>0.22500000000000009</v>
      </c>
      <c r="Z8" s="437"/>
      <c r="AA8" s="5"/>
      <c r="AB8" s="5"/>
      <c r="AC8" s="5"/>
      <c r="AD8"/>
      <c r="AE8"/>
      <c r="AF8"/>
      <c r="AG8"/>
      <c r="AH8"/>
      <c r="AI8"/>
      <c r="AL8" s="89"/>
      <c r="AW8" s="90"/>
      <c r="AY8" s="69"/>
    </row>
    <row r="9" spans="1:51" ht="15.75" x14ac:dyDescent="0.25">
      <c r="A9" s="121"/>
      <c r="B9"/>
      <c r="C9" t="s">
        <v>378</v>
      </c>
      <c r="D9" s="583">
        <f>D7+D8</f>
        <v>578354</v>
      </c>
      <c r="E9" s="584">
        <f>E7+E8</f>
        <v>102172</v>
      </c>
      <c r="F9" s="585"/>
      <c r="G9" s="586"/>
      <c r="H9" s="21"/>
      <c r="I9" s="295"/>
      <c r="AA9" s="5"/>
      <c r="AB9" s="5"/>
      <c r="AC9" s="5"/>
      <c r="AD9"/>
      <c r="AE9"/>
      <c r="AF9"/>
      <c r="AG9"/>
      <c r="AH9"/>
      <c r="AI9"/>
      <c r="AL9" s="89"/>
      <c r="AW9" s="90"/>
      <c r="AY9" s="69"/>
    </row>
    <row r="10" spans="1:51" ht="15.75" x14ac:dyDescent="0.25">
      <c r="A10" s="121"/>
      <c r="B10"/>
      <c r="C10" s="579"/>
      <c r="D10" s="579"/>
      <c r="E10" s="587"/>
      <c r="F10" s="587"/>
      <c r="G10" s="587"/>
      <c r="H10"/>
      <c r="I10"/>
      <c r="AA10" s="5"/>
      <c r="AB10" s="5"/>
      <c r="AC10" s="5"/>
      <c r="AD10"/>
      <c r="AE10"/>
      <c r="AF10"/>
      <c r="AG10"/>
      <c r="AH10"/>
      <c r="AI10"/>
      <c r="AL10" s="89"/>
      <c r="AW10" s="90"/>
      <c r="AY10" s="69"/>
    </row>
    <row r="11" spans="1:51" ht="15.75" x14ac:dyDescent="0.25">
      <c r="A11" s="121"/>
      <c r="B11" t="s">
        <v>368</v>
      </c>
      <c r="C11" t="s">
        <v>295</v>
      </c>
      <c r="D11"/>
      <c r="E11"/>
      <c r="F11"/>
      <c r="G11"/>
      <c r="H11"/>
      <c r="I11" t="s">
        <v>295</v>
      </c>
      <c r="J11" s="587">
        <f>$E$7*J7+$D$7*J8</f>
        <v>30383</v>
      </c>
      <c r="K11" s="587">
        <f t="shared" ref="K11:S11" si="9">$E$7*K7+$D$7*K8</f>
        <v>33880.385000000002</v>
      </c>
      <c r="L11" s="587">
        <f t="shared" si="9"/>
        <v>37377.769999999997</v>
      </c>
      <c r="M11" s="587">
        <f t="shared" si="9"/>
        <v>40875.154999999999</v>
      </c>
      <c r="N11" s="587">
        <f t="shared" si="9"/>
        <v>44372.54</v>
      </c>
      <c r="O11" s="587">
        <f t="shared" si="9"/>
        <v>47869.925000000003</v>
      </c>
      <c r="P11" s="587">
        <f t="shared" si="9"/>
        <v>51367.31</v>
      </c>
      <c r="Q11" s="587">
        <f t="shared" si="9"/>
        <v>54864.695</v>
      </c>
      <c r="R11" s="587">
        <f t="shared" si="9"/>
        <v>58362.080000000002</v>
      </c>
      <c r="S11" s="587">
        <f t="shared" si="9"/>
        <v>61859.465000000004</v>
      </c>
      <c r="T11" s="587">
        <f t="shared" ref="T11:Y11" si="10">$E$7*T7+$D$7*T8</f>
        <v>65356.850000000006</v>
      </c>
      <c r="U11" s="587">
        <f t="shared" si="10"/>
        <v>68854.235000000015</v>
      </c>
      <c r="V11" s="587">
        <f t="shared" si="10"/>
        <v>72351.62000000001</v>
      </c>
      <c r="W11" s="587">
        <f t="shared" si="10"/>
        <v>75849.005000000005</v>
      </c>
      <c r="X11" s="587">
        <f t="shared" si="10"/>
        <v>79346.390000000014</v>
      </c>
      <c r="Y11" s="587">
        <f t="shared" si="10"/>
        <v>82843.775000000023</v>
      </c>
      <c r="Z11" s="579"/>
      <c r="AA11" s="5"/>
      <c r="AB11" s="5"/>
      <c r="AC11" s="5"/>
      <c r="AD11"/>
      <c r="AE11"/>
      <c r="AF11"/>
      <c r="AG11"/>
      <c r="AH11"/>
      <c r="AI11"/>
      <c r="AL11" s="89"/>
      <c r="AW11" s="90"/>
      <c r="AY11" s="69"/>
    </row>
    <row r="12" spans="1:51" ht="15.75" x14ac:dyDescent="0.25">
      <c r="A12" s="121"/>
      <c r="B12"/>
      <c r="C12" s="423" t="s">
        <v>379</v>
      </c>
      <c r="E12" s="588" t="s">
        <v>380</v>
      </c>
      <c r="F12" s="678">
        <f>AD45</f>
        <v>0.13971778857275044</v>
      </c>
      <c r="H12"/>
      <c r="I12" t="s">
        <v>381</v>
      </c>
      <c r="J12" s="586">
        <f t="shared" ref="J12:S12" si="11">($E$8*J7+$D$8*J8)*(1+$F$12)</f>
        <v>81819.200323849189</v>
      </c>
      <c r="K12" s="586">
        <f t="shared" si="11"/>
        <v>87720.573554244751</v>
      </c>
      <c r="L12" s="586">
        <f t="shared" si="11"/>
        <v>93621.946784640313</v>
      </c>
      <c r="M12" s="586">
        <f t="shared" si="11"/>
        <v>99523.320015035861</v>
      </c>
      <c r="N12" s="586">
        <f t="shared" si="11"/>
        <v>105424.69324543142</v>
      </c>
      <c r="O12" s="586">
        <f t="shared" si="11"/>
        <v>111326.06647582698</v>
      </c>
      <c r="P12" s="586">
        <f t="shared" si="11"/>
        <v>117227.43970622255</v>
      </c>
      <c r="Q12" s="586">
        <f t="shared" si="11"/>
        <v>123128.81293661811</v>
      </c>
      <c r="R12" s="586">
        <f t="shared" si="11"/>
        <v>129030.18616701366</v>
      </c>
      <c r="S12" s="586">
        <f t="shared" si="11"/>
        <v>134931.55939740923</v>
      </c>
      <c r="T12" s="586">
        <f t="shared" ref="T12:Y12" si="12">($E$8*T7+$D$8*T8)*(1+$F$12)</f>
        <v>140832.93262780478</v>
      </c>
      <c r="U12" s="586">
        <f t="shared" si="12"/>
        <v>146734.30585820036</v>
      </c>
      <c r="V12" s="586">
        <f t="shared" si="12"/>
        <v>152635.67908859593</v>
      </c>
      <c r="W12" s="586">
        <f t="shared" si="12"/>
        <v>158537.05231899148</v>
      </c>
      <c r="X12" s="586">
        <f t="shared" si="12"/>
        <v>164438.42554938703</v>
      </c>
      <c r="Y12" s="586">
        <f t="shared" si="12"/>
        <v>170339.79877978261</v>
      </c>
      <c r="Z12" s="579"/>
      <c r="AA12" s="5"/>
      <c r="AB12" s="5"/>
      <c r="AC12" s="5"/>
      <c r="AD12"/>
      <c r="AE12"/>
      <c r="AF12"/>
      <c r="AG12"/>
      <c r="AH12"/>
      <c r="AI12"/>
      <c r="AL12" s="89"/>
      <c r="AW12" s="90"/>
      <c r="AY12" s="69"/>
    </row>
    <row r="13" spans="1:51" ht="15.75" x14ac:dyDescent="0.25">
      <c r="A13" s="121"/>
      <c r="B13"/>
      <c r="C13" t="s">
        <v>382</v>
      </c>
      <c r="D13"/>
      <c r="E13"/>
      <c r="F13"/>
      <c r="G13"/>
      <c r="H13"/>
      <c r="I13" s="589" t="s">
        <v>4</v>
      </c>
      <c r="J13" s="587">
        <f>J11+J12</f>
        <v>112202.20032384919</v>
      </c>
      <c r="K13" s="587">
        <f t="shared" ref="K13:S13" si="13">K11+K12</f>
        <v>121600.95855424475</v>
      </c>
      <c r="L13" s="587">
        <f t="shared" si="13"/>
        <v>130999.7167846403</v>
      </c>
      <c r="M13" s="587">
        <f t="shared" si="13"/>
        <v>140398.47501503586</v>
      </c>
      <c r="N13" s="587">
        <f t="shared" si="13"/>
        <v>149797.23324543142</v>
      </c>
      <c r="O13" s="587">
        <f t="shared" si="13"/>
        <v>159195.991475827</v>
      </c>
      <c r="P13" s="587">
        <f t="shared" si="13"/>
        <v>168594.74970622256</v>
      </c>
      <c r="Q13" s="587">
        <f t="shared" si="13"/>
        <v>177993.50793661812</v>
      </c>
      <c r="R13" s="587">
        <f t="shared" si="13"/>
        <v>187392.26616701367</v>
      </c>
      <c r="S13" s="587">
        <f t="shared" si="13"/>
        <v>196791.02439740923</v>
      </c>
      <c r="T13" s="587">
        <f t="shared" ref="T13:Y13" si="14">T11+T12</f>
        <v>206189.78262780479</v>
      </c>
      <c r="U13" s="587">
        <f t="shared" si="14"/>
        <v>215588.54085820037</v>
      </c>
      <c r="V13" s="587">
        <f t="shared" si="14"/>
        <v>224987.29908859596</v>
      </c>
      <c r="W13" s="587">
        <f t="shared" si="14"/>
        <v>234386.05731899149</v>
      </c>
      <c r="X13" s="587">
        <f t="shared" si="14"/>
        <v>243784.81554938704</v>
      </c>
      <c r="Y13" s="587">
        <f t="shared" si="14"/>
        <v>253183.57377978263</v>
      </c>
      <c r="Z13" s="579"/>
      <c r="AA13" s="5"/>
      <c r="AB13" s="5"/>
      <c r="AC13" s="5"/>
      <c r="AD13"/>
      <c r="AE13"/>
      <c r="AF13"/>
      <c r="AG13"/>
      <c r="AH13"/>
      <c r="AI13"/>
      <c r="AL13" s="89"/>
      <c r="AW13" s="90"/>
      <c r="AY13" s="69"/>
    </row>
    <row r="14" spans="1:51" ht="15.75" x14ac:dyDescent="0.25">
      <c r="A14" s="121"/>
      <c r="B14"/>
      <c r="C14"/>
      <c r="D14"/>
      <c r="E14"/>
      <c r="F14"/>
      <c r="G14"/>
      <c r="H14"/>
      <c r="I14" s="588" t="s">
        <v>194</v>
      </c>
      <c r="J14"/>
      <c r="K14" s="425">
        <f>K13/J13-1</f>
        <v>8.376625594924092E-2</v>
      </c>
      <c r="L14" s="425">
        <f t="shared" ref="L14:S14" si="15">L13/K13-1</f>
        <v>7.7291810378311121E-2</v>
      </c>
      <c r="M14" s="425">
        <f t="shared" si="15"/>
        <v>7.1746401145636352E-2</v>
      </c>
      <c r="N14" s="425">
        <f t="shared" si="15"/>
        <v>6.694344955947007E-2</v>
      </c>
      <c r="O14" s="425">
        <f t="shared" si="15"/>
        <v>6.2743203107072265E-2</v>
      </c>
      <c r="P14" s="425">
        <f t="shared" si="15"/>
        <v>5.9038912621256046E-2</v>
      </c>
      <c r="Q14" s="425">
        <f t="shared" si="15"/>
        <v>5.5747632988411233E-2</v>
      </c>
      <c r="R14" s="425">
        <f t="shared" si="15"/>
        <v>5.280393840960973E-2</v>
      </c>
      <c r="S14" s="425">
        <f t="shared" si="15"/>
        <v>5.0155528948131245E-2</v>
      </c>
      <c r="T14" s="425">
        <f t="shared" ref="T14" si="16">T13/S13-1</f>
        <v>4.7760096067263946E-2</v>
      </c>
      <c r="U14" s="425">
        <f t="shared" ref="U14" si="17">U13/T13-1</f>
        <v>4.5583045438101877E-2</v>
      </c>
      <c r="V14" s="425">
        <f t="shared" ref="V14" si="18">V13/U13-1</f>
        <v>4.3595815403646432E-2</v>
      </c>
      <c r="W14" s="425">
        <f t="shared" ref="W14" si="19">W13/V13-1</f>
        <v>4.177461691601736E-2</v>
      </c>
      <c r="X14" s="425">
        <f t="shared" ref="X14" si="20">X13/W13-1</f>
        <v>4.0099476640814702E-2</v>
      </c>
      <c r="Y14" s="425">
        <f t="shared" ref="Y14" si="21">Y13/X13-1</f>
        <v>3.8553501411541014E-2</v>
      </c>
      <c r="AA14" s="5"/>
      <c r="AB14" s="5"/>
      <c r="AC14" s="5"/>
      <c r="AD14"/>
      <c r="AE14"/>
      <c r="AF14"/>
      <c r="AG14"/>
      <c r="AH14"/>
      <c r="AI14"/>
      <c r="AL14" s="89"/>
      <c r="AW14" s="90"/>
      <c r="AY14" s="69"/>
    </row>
    <row r="15" spans="1:51" ht="15.75" x14ac:dyDescent="0.25">
      <c r="A15" s="121"/>
      <c r="B15"/>
      <c r="C15"/>
      <c r="D15"/>
      <c r="E15"/>
      <c r="F15"/>
      <c r="G15"/>
      <c r="H15"/>
      <c r="I15" s="588"/>
      <c r="J15" s="608"/>
      <c r="K15" s="609"/>
      <c r="L15" s="609"/>
      <c r="M15" s="609"/>
      <c r="N15" s="609"/>
      <c r="O15" s="609"/>
      <c r="P15" s="609"/>
      <c r="Q15" s="609"/>
      <c r="R15" s="609"/>
      <c r="S15" s="609"/>
      <c r="T15" s="609"/>
      <c r="U15" s="609"/>
      <c r="V15" s="609"/>
      <c r="W15" s="609"/>
      <c r="X15" s="609"/>
      <c r="Y15" s="609"/>
      <c r="AA15" s="5"/>
      <c r="AB15" s="5"/>
      <c r="AC15" s="5"/>
      <c r="AD15"/>
      <c r="AE15"/>
      <c r="AF15"/>
      <c r="AG15"/>
      <c r="AH15"/>
      <c r="AI15"/>
      <c r="AL15" s="89"/>
      <c r="AW15" s="90"/>
      <c r="AY15" s="69"/>
    </row>
    <row r="16" spans="1:51" ht="15.75" x14ac:dyDescent="0.25">
      <c r="A16" s="121"/>
      <c r="B16" s="570" t="s">
        <v>383</v>
      </c>
      <c r="C16"/>
      <c r="D16"/>
      <c r="E16"/>
      <c r="F16"/>
      <c r="G16"/>
      <c r="H16"/>
      <c r="I16" t="s">
        <v>295</v>
      </c>
      <c r="J16" s="675">
        <v>0.27260195514940222</v>
      </c>
      <c r="K16" s="675">
        <v>0.46058015729666341</v>
      </c>
      <c r="L16" s="675">
        <v>0.57685740511076222</v>
      </c>
      <c r="M16" s="675">
        <v>0.65913145426646291</v>
      </c>
      <c r="N16" s="675">
        <v>0.68953283630905315</v>
      </c>
      <c r="O16" s="675">
        <v>0.7</v>
      </c>
      <c r="P16" s="675">
        <v>0.71</v>
      </c>
      <c r="Q16" s="675">
        <v>0.72</v>
      </c>
      <c r="R16" s="675">
        <v>0.73</v>
      </c>
      <c r="S16" s="675">
        <v>0.74</v>
      </c>
      <c r="T16" s="675">
        <v>0.74</v>
      </c>
      <c r="U16" s="675">
        <v>0.74</v>
      </c>
      <c r="V16" s="675">
        <v>0.74</v>
      </c>
      <c r="W16" s="675">
        <v>0.74</v>
      </c>
      <c r="X16" s="675">
        <v>0.74</v>
      </c>
      <c r="Y16" s="675">
        <v>0.74</v>
      </c>
      <c r="Z16" s="261"/>
      <c r="AA16" s="425"/>
      <c r="AB16" s="425"/>
      <c r="AC16" s="425"/>
      <c r="AD16" s="425"/>
      <c r="AE16" s="425"/>
      <c r="AF16"/>
      <c r="AG16" s="5"/>
      <c r="AH16" s="5"/>
      <c r="AI16" s="5"/>
      <c r="AL16" s="89"/>
      <c r="AW16" s="90"/>
      <c r="AY16" s="69"/>
    </row>
    <row r="17" spans="1:51" ht="15.75" x14ac:dyDescent="0.25">
      <c r="A17" s="121"/>
      <c r="B17" t="s">
        <v>384</v>
      </c>
      <c r="C17"/>
      <c r="D17"/>
      <c r="E17"/>
      <c r="F17"/>
      <c r="G17"/>
      <c r="H17"/>
      <c r="I17" t="s">
        <v>381</v>
      </c>
      <c r="J17" s="676">
        <v>0.15212710347795552</v>
      </c>
      <c r="K17" s="676">
        <v>0.28365836445653164</v>
      </c>
      <c r="L17" s="676">
        <v>0.4296089152693659</v>
      </c>
      <c r="M17" s="676">
        <v>0.46278678790889127</v>
      </c>
      <c r="N17" s="676">
        <v>0.52470259358270388</v>
      </c>
      <c r="O17" s="676">
        <v>0.56999999999999995</v>
      </c>
      <c r="P17" s="676">
        <v>0.61</v>
      </c>
      <c r="Q17" s="676">
        <v>0.64</v>
      </c>
      <c r="R17" s="676">
        <v>0.66</v>
      </c>
      <c r="S17" s="676">
        <v>0.67</v>
      </c>
      <c r="T17" s="676">
        <v>0.67</v>
      </c>
      <c r="U17" s="676">
        <v>0.67</v>
      </c>
      <c r="V17" s="676">
        <v>0.67</v>
      </c>
      <c r="W17" s="676">
        <v>0.67</v>
      </c>
      <c r="X17" s="676">
        <v>0.67</v>
      </c>
      <c r="Y17" s="676">
        <v>0.67</v>
      </c>
      <c r="Z17" s="261"/>
      <c r="AA17" s="425"/>
      <c r="AB17" s="425"/>
      <c r="AC17" s="425"/>
      <c r="AD17" s="425"/>
      <c r="AE17" s="425"/>
      <c r="AF17"/>
      <c r="AG17" s="5"/>
      <c r="AH17" s="5"/>
      <c r="AI17" s="5"/>
      <c r="AL17" s="89"/>
      <c r="AW17" s="90"/>
      <c r="AY17" s="69"/>
    </row>
    <row r="18" spans="1:51" ht="15.75" x14ac:dyDescent="0.25">
      <c r="A18" s="121"/>
      <c r="B18"/>
      <c r="C18"/>
      <c r="D18"/>
      <c r="E18"/>
      <c r="F18"/>
      <c r="G18"/>
      <c r="H18"/>
      <c r="I18" s="589" t="s">
        <v>4</v>
      </c>
      <c r="J18" s="425">
        <f t="shared" ref="J18:S18" si="22">J22/J13</f>
        <v>0.18475023749643815</v>
      </c>
      <c r="K18" s="425">
        <f t="shared" si="22"/>
        <v>0.33295220660696156</v>
      </c>
      <c r="L18" s="425">
        <f t="shared" si="22"/>
        <v>0.47162290065215245</v>
      </c>
      <c r="M18" s="425">
        <f t="shared" si="22"/>
        <v>0.51994993494399644</v>
      </c>
      <c r="N18" s="425">
        <f t="shared" si="22"/>
        <v>0.57352817186692573</v>
      </c>
      <c r="O18" s="425">
        <f t="shared" si="22"/>
        <v>0.60909074714952816</v>
      </c>
      <c r="P18" s="425">
        <f t="shared" si="22"/>
        <v>0.64046791794495839</v>
      </c>
      <c r="Q18" s="425">
        <f t="shared" si="22"/>
        <v>0.66465918926415524</v>
      </c>
      <c r="R18" s="425">
        <f t="shared" si="22"/>
        <v>0.68180103631576194</v>
      </c>
      <c r="S18" s="425">
        <f t="shared" si="22"/>
        <v>0.69200386203211928</v>
      </c>
      <c r="T18" s="425">
        <f t="shared" ref="T18:Y18" si="23">T22/T13</f>
        <v>0.69218819692078715</v>
      </c>
      <c r="U18" s="425">
        <f t="shared" si="23"/>
        <v>0.6923564593498972</v>
      </c>
      <c r="V18" s="425">
        <f t="shared" si="23"/>
        <v>0.69251066358197244</v>
      </c>
      <c r="W18" s="425">
        <f t="shared" si="23"/>
        <v>0.69265250079604368</v>
      </c>
      <c r="X18" s="425">
        <f t="shared" si="23"/>
        <v>0.69278340136764915</v>
      </c>
      <c r="Y18" s="425">
        <f t="shared" si="23"/>
        <v>0.69290458327697035</v>
      </c>
      <c r="Z18" s="261"/>
      <c r="AH18"/>
      <c r="AI18"/>
      <c r="AL18" s="89"/>
      <c r="AW18" s="90"/>
      <c r="AY18" s="69"/>
    </row>
    <row r="19" spans="1:51" ht="15.75" x14ac:dyDescent="0.25">
      <c r="A19" s="121"/>
      <c r="B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AF19"/>
      <c r="AG19"/>
      <c r="AH19"/>
      <c r="AI19"/>
      <c r="AL19" s="89"/>
      <c r="AW19" s="90"/>
      <c r="AY19" s="69"/>
    </row>
    <row r="20" spans="1:51" ht="15.75" x14ac:dyDescent="0.25">
      <c r="A20" s="121"/>
      <c r="B20" s="423" t="s">
        <v>609</v>
      </c>
      <c r="I20" t="s">
        <v>295</v>
      </c>
      <c r="J20" s="587">
        <f t="shared" ref="J20:S21" si="24">J16*J11</f>
        <v>8282.4652033042876</v>
      </c>
      <c r="K20" s="587">
        <f t="shared" si="24"/>
        <v>15604.633052571517</v>
      </c>
      <c r="L20" s="587">
        <f t="shared" si="24"/>
        <v>21561.643411026893</v>
      </c>
      <c r="M20" s="587">
        <f t="shared" si="24"/>
        <v>26942.100358517084</v>
      </c>
      <c r="N20" s="587">
        <f t="shared" si="24"/>
        <v>30596.323360436912</v>
      </c>
      <c r="O20" s="587">
        <f t="shared" si="24"/>
        <v>33508.947500000002</v>
      </c>
      <c r="P20" s="587">
        <f t="shared" si="24"/>
        <v>36470.790099999998</v>
      </c>
      <c r="Q20" s="587">
        <f t="shared" si="24"/>
        <v>39502.580399999999</v>
      </c>
      <c r="R20" s="587">
        <f t="shared" si="24"/>
        <v>42604.318400000004</v>
      </c>
      <c r="S20" s="587">
        <f t="shared" si="24"/>
        <v>45776.004100000006</v>
      </c>
      <c r="T20" s="587">
        <f t="shared" ref="T20:Y20" si="25">T16*T11</f>
        <v>48364.069000000003</v>
      </c>
      <c r="U20" s="587">
        <f t="shared" si="25"/>
        <v>50952.133900000008</v>
      </c>
      <c r="V20" s="587">
        <f t="shared" si="25"/>
        <v>53540.198800000006</v>
      </c>
      <c r="W20" s="587">
        <f t="shared" si="25"/>
        <v>56128.263700000003</v>
      </c>
      <c r="X20" s="587">
        <f t="shared" si="25"/>
        <v>58716.328600000008</v>
      </c>
      <c r="Y20" s="587">
        <f t="shared" si="25"/>
        <v>61304.393500000013</v>
      </c>
      <c r="Z20" s="579"/>
      <c r="AF20"/>
      <c r="AG20"/>
      <c r="AH20"/>
      <c r="AI20" s="589"/>
      <c r="AL20" s="89"/>
      <c r="AW20" s="90"/>
      <c r="AY20" s="69"/>
    </row>
    <row r="21" spans="1:51" ht="15.75" x14ac:dyDescent="0.25">
      <c r="A21" s="121"/>
      <c r="B21" t="s">
        <v>389</v>
      </c>
      <c r="I21" t="s">
        <v>381</v>
      </c>
      <c r="J21" s="586">
        <f t="shared" si="24"/>
        <v>12446.917954149778</v>
      </c>
      <c r="K21" s="586">
        <f t="shared" si="24"/>
        <v>24882.674423585948</v>
      </c>
      <c r="L21" s="586">
        <f t="shared" si="24"/>
        <v>40220.823003555626</v>
      </c>
      <c r="M21" s="586">
        <f t="shared" si="24"/>
        <v>46058.077591787114</v>
      </c>
      <c r="N21" s="586">
        <f t="shared" si="24"/>
        <v>55316.609973538834</v>
      </c>
      <c r="O21" s="586">
        <f t="shared" si="24"/>
        <v>63455.857891221378</v>
      </c>
      <c r="P21" s="586">
        <f t="shared" si="24"/>
        <v>71508.738220795756</v>
      </c>
      <c r="Q21" s="586">
        <f t="shared" si="24"/>
        <v>78802.440279435585</v>
      </c>
      <c r="R21" s="586">
        <f t="shared" si="24"/>
        <v>85159.922870229013</v>
      </c>
      <c r="S21" s="586">
        <f t="shared" si="24"/>
        <v>90404.144796264198</v>
      </c>
      <c r="T21" s="586">
        <f t="shared" ref="T21:Y21" si="26">T17*T12</f>
        <v>94358.064860629209</v>
      </c>
      <c r="U21" s="586">
        <f t="shared" si="26"/>
        <v>98311.984924994249</v>
      </c>
      <c r="V21" s="586">
        <f t="shared" si="26"/>
        <v>102265.90498935929</v>
      </c>
      <c r="W21" s="586">
        <f t="shared" si="26"/>
        <v>106219.8250537243</v>
      </c>
      <c r="X21" s="586">
        <f t="shared" si="26"/>
        <v>110173.74511808931</v>
      </c>
      <c r="Y21" s="586">
        <f t="shared" si="26"/>
        <v>114127.66518245435</v>
      </c>
      <c r="Z21" s="579"/>
      <c r="AH21"/>
      <c r="AI21"/>
      <c r="AL21" s="89"/>
      <c r="AW21" s="90"/>
      <c r="AY21" s="69"/>
    </row>
    <row r="22" spans="1:51" ht="15.75" x14ac:dyDescent="0.25">
      <c r="A22" s="121"/>
      <c r="B22"/>
      <c r="I22" s="589" t="s">
        <v>4</v>
      </c>
      <c r="J22" s="587">
        <f>J20+J21</f>
        <v>20729.383157454067</v>
      </c>
      <c r="K22" s="587">
        <f t="shared" ref="K22:S22" si="27">K20+K21</f>
        <v>40487.307476157468</v>
      </c>
      <c r="L22" s="587">
        <f t="shared" si="27"/>
        <v>61782.466414582523</v>
      </c>
      <c r="M22" s="587">
        <f t="shared" si="27"/>
        <v>73000.177950304205</v>
      </c>
      <c r="N22" s="587">
        <f t="shared" si="27"/>
        <v>85912.933333975743</v>
      </c>
      <c r="O22" s="587">
        <f t="shared" si="27"/>
        <v>96964.80539122138</v>
      </c>
      <c r="P22" s="587">
        <f t="shared" si="27"/>
        <v>107979.52832079575</v>
      </c>
      <c r="Q22" s="587">
        <f t="shared" si="27"/>
        <v>118305.02067943558</v>
      </c>
      <c r="R22" s="587">
        <f t="shared" si="27"/>
        <v>127764.24127022902</v>
      </c>
      <c r="S22" s="587">
        <f t="shared" si="27"/>
        <v>136180.1488962642</v>
      </c>
      <c r="T22" s="587">
        <f t="shared" ref="T22:Y22" si="28">T20+T21</f>
        <v>142722.13386062923</v>
      </c>
      <c r="U22" s="587">
        <f t="shared" si="28"/>
        <v>149264.11882499425</v>
      </c>
      <c r="V22" s="587">
        <f t="shared" si="28"/>
        <v>155806.1037893593</v>
      </c>
      <c r="W22" s="587">
        <f t="shared" si="28"/>
        <v>162348.0887537243</v>
      </c>
      <c r="X22" s="587">
        <f t="shared" si="28"/>
        <v>168890.07371808932</v>
      </c>
      <c r="Y22" s="587">
        <f t="shared" si="28"/>
        <v>175432.05868245437</v>
      </c>
      <c r="Z22" s="579"/>
      <c r="AH22"/>
      <c r="AI22"/>
      <c r="AL22" s="89"/>
      <c r="AW22" s="90"/>
      <c r="AY22" s="69"/>
    </row>
    <row r="23" spans="1:51" ht="15.75" x14ac:dyDescent="0.25">
      <c r="A23" s="121"/>
      <c r="B23"/>
      <c r="I23" s="588" t="s">
        <v>194</v>
      </c>
      <c r="J23"/>
      <c r="K23" s="425">
        <f>K22/J22-1</f>
        <v>0.95313614344567021</v>
      </c>
      <c r="L23" s="425">
        <f t="shared" ref="L23:S23" si="29">L22/K22-1</f>
        <v>0.5259712306372939</v>
      </c>
      <c r="M23" s="425">
        <f t="shared" si="29"/>
        <v>0.18156788141876379</v>
      </c>
      <c r="N23" s="425">
        <f t="shared" si="29"/>
        <v>0.17688662885811124</v>
      </c>
      <c r="O23" s="425">
        <f t="shared" si="29"/>
        <v>0.12864037611523371</v>
      </c>
      <c r="P23" s="425">
        <f t="shared" si="29"/>
        <v>0.11359506044624701</v>
      </c>
      <c r="Q23" s="425">
        <f t="shared" si="29"/>
        <v>9.5624536606271127E-2</v>
      </c>
      <c r="R23" s="425">
        <f t="shared" si="29"/>
        <v>7.995620588600838E-2</v>
      </c>
      <c r="S23" s="425">
        <f t="shared" si="29"/>
        <v>6.5870603091791935E-2</v>
      </c>
      <c r="T23" s="425">
        <f t="shared" ref="T23" si="30">T22/S22-1</f>
        <v>4.8039196735997214E-2</v>
      </c>
      <c r="U23" s="425">
        <f t="shared" ref="U23" si="31">U22/T22-1</f>
        <v>4.5837213804226007E-2</v>
      </c>
      <c r="V23" s="425">
        <f t="shared" ref="V23" si="32">V22/U22-1</f>
        <v>4.3828248984843166E-2</v>
      </c>
      <c r="W23" s="425">
        <f t="shared" ref="W23" si="33">W22/V22-1</f>
        <v>4.1987988950736854E-2</v>
      </c>
      <c r="X23" s="425">
        <f t="shared" ref="X23" si="34">X22/W22-1</f>
        <v>4.0296039297937014E-2</v>
      </c>
      <c r="Y23" s="425">
        <f t="shared" ref="Y23" si="35">Y22/X22-1</f>
        <v>3.873516554492662E-2</v>
      </c>
      <c r="Z23" s="261"/>
      <c r="AG23"/>
      <c r="AH23"/>
      <c r="AI23"/>
      <c r="AL23" s="89"/>
      <c r="AW23" s="90"/>
      <c r="AY23" s="69"/>
    </row>
    <row r="24" spans="1:51" ht="15.75" x14ac:dyDescent="0.25">
      <c r="A24" s="121"/>
      <c r="B24" s="1" t="s">
        <v>405</v>
      </c>
      <c r="D24" s="720" t="s">
        <v>560</v>
      </c>
      <c r="E24" s="723" t="s">
        <v>561</v>
      </c>
      <c r="F24" s="722" t="s">
        <v>563</v>
      </c>
      <c r="G24" s="243" t="s">
        <v>570</v>
      </c>
      <c r="H24" s="587"/>
      <c r="I24" s="587"/>
      <c r="J24" s="771"/>
      <c r="K24" s="771"/>
      <c r="L24" s="771"/>
      <c r="M24" s="771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18"/>
      <c r="AG24"/>
      <c r="AH24"/>
      <c r="AI24"/>
      <c r="AL24" s="89"/>
      <c r="AW24" s="90"/>
      <c r="AY24" s="69"/>
    </row>
    <row r="25" spans="1:51" ht="15.75" x14ac:dyDescent="0.25">
      <c r="A25" s="121"/>
      <c r="B25" s="423" t="s">
        <v>559</v>
      </c>
      <c r="C25" s="423" t="s">
        <v>295</v>
      </c>
      <c r="D25" s="721">
        <f>Control!I5</f>
        <v>2</v>
      </c>
      <c r="E25" s="721">
        <f>Control!I6</f>
        <v>1</v>
      </c>
      <c r="F25" s="677">
        <f>Control!I7</f>
        <v>0</v>
      </c>
      <c r="G25" s="727">
        <f>IF(U49=1, 1)+IF(Control!I16&gt;0,1,0)</f>
        <v>2</v>
      </c>
      <c r="H25"/>
      <c r="I25" t="s">
        <v>295</v>
      </c>
      <c r="J25" s="772">
        <f>$N$25*J54</f>
        <v>6.7979286956521737E-2</v>
      </c>
      <c r="K25" s="772">
        <f t="shared" ref="K25:M26" si="36">$N$25*K54</f>
        <v>0.1980655652173913</v>
      </c>
      <c r="L25" s="772">
        <f t="shared" si="36"/>
        <v>0.24832843478260869</v>
      </c>
      <c r="M25" s="772">
        <f t="shared" si="36"/>
        <v>0.33641286956521738</v>
      </c>
      <c r="N25" s="774">
        <f>G27-0.0018</f>
        <v>0.38153333333333328</v>
      </c>
      <c r="O25" s="777">
        <f>N25+O56</f>
        <v>0.42153333333333326</v>
      </c>
      <c r="P25" s="777">
        <f t="shared" ref="P25:Y25" si="37">O25+P56</f>
        <v>0.46153333333333324</v>
      </c>
      <c r="Q25" s="777">
        <f t="shared" si="37"/>
        <v>0.48153333333333326</v>
      </c>
      <c r="R25" s="777">
        <f t="shared" si="37"/>
        <v>0.50153333333333328</v>
      </c>
      <c r="S25" s="777">
        <f t="shared" si="37"/>
        <v>0.50153333333333328</v>
      </c>
      <c r="T25" s="777">
        <f t="shared" si="37"/>
        <v>0.50153333333333328</v>
      </c>
      <c r="U25" s="777">
        <f t="shared" si="37"/>
        <v>0.49653333333333327</v>
      </c>
      <c r="V25" s="777">
        <f t="shared" si="37"/>
        <v>0.48653333333333326</v>
      </c>
      <c r="W25" s="777">
        <f t="shared" si="37"/>
        <v>0.47653333333333325</v>
      </c>
      <c r="X25" s="777">
        <f t="shared" si="37"/>
        <v>0.46653333333333324</v>
      </c>
      <c r="Y25" s="777">
        <f t="shared" si="37"/>
        <v>0.45653333333333324</v>
      </c>
      <c r="Z25" s="261"/>
      <c r="AB25" s="587"/>
      <c r="AC25" s="587"/>
      <c r="AD25" s="587"/>
      <c r="AE25" s="587"/>
      <c r="AF25"/>
      <c r="AG25"/>
      <c r="AH25"/>
      <c r="AI25"/>
      <c r="AL25" s="89"/>
      <c r="AW25" s="90"/>
      <c r="AY25" s="69"/>
    </row>
    <row r="26" spans="1:51" ht="15.75" x14ac:dyDescent="0.25">
      <c r="A26" s="121"/>
      <c r="B26"/>
      <c r="C26" s="423" t="s">
        <v>381</v>
      </c>
      <c r="D26"/>
      <c r="E26" s="721">
        <f>E25</f>
        <v>1</v>
      </c>
      <c r="F26" s="677">
        <f>Control!I8</f>
        <v>0</v>
      </c>
      <c r="G26" s="727">
        <f>U50</f>
        <v>1</v>
      </c>
      <c r="H26"/>
      <c r="I26" t="s">
        <v>381</v>
      </c>
      <c r="J26" s="908">
        <f>$N$25*J55</f>
        <v>0</v>
      </c>
      <c r="K26" s="908">
        <f t="shared" si="36"/>
        <v>4.7297520661157028E-2</v>
      </c>
      <c r="L26" s="908">
        <f t="shared" si="36"/>
        <v>0.19864958677685948</v>
      </c>
      <c r="M26" s="908">
        <f t="shared" si="36"/>
        <v>0.34054214876033057</v>
      </c>
      <c r="N26" s="775">
        <f>G28</f>
        <v>0.40333333333333332</v>
      </c>
      <c r="O26" s="773">
        <f>N26+O57</f>
        <v>0.4433333333333333</v>
      </c>
      <c r="P26" s="773">
        <f t="shared" ref="P26:Y26" si="38">O26+P57</f>
        <v>0.46333333333333332</v>
      </c>
      <c r="Q26" s="773">
        <f t="shared" si="38"/>
        <v>0.48333333333333334</v>
      </c>
      <c r="R26" s="773">
        <f t="shared" si="38"/>
        <v>0.5033333333333333</v>
      </c>
      <c r="S26" s="773">
        <f t="shared" si="38"/>
        <v>0.5033333333333333</v>
      </c>
      <c r="T26" s="773">
        <f t="shared" si="38"/>
        <v>0.5033333333333333</v>
      </c>
      <c r="U26" s="773">
        <f t="shared" si="38"/>
        <v>0.49833333333333329</v>
      </c>
      <c r="V26" s="773">
        <f t="shared" si="38"/>
        <v>0.48833333333333329</v>
      </c>
      <c r="W26" s="773">
        <f t="shared" si="38"/>
        <v>0.47833333333333328</v>
      </c>
      <c r="X26" s="773">
        <f t="shared" si="38"/>
        <v>0.46833333333333327</v>
      </c>
      <c r="Y26" s="773">
        <f t="shared" si="38"/>
        <v>6.8333333333333246E-2</v>
      </c>
      <c r="Z26" s="261"/>
      <c r="AA26" s="591"/>
      <c r="AB26"/>
      <c r="AC26" s="5"/>
      <c r="AD26" s="5"/>
      <c r="AE26"/>
      <c r="AF26"/>
      <c r="AG26"/>
      <c r="AH26"/>
      <c r="AI26"/>
      <c r="AL26" s="89"/>
      <c r="AW26" s="90"/>
      <c r="AY26" s="69"/>
    </row>
    <row r="27" spans="1:51" ht="15.75" x14ac:dyDescent="0.25">
      <c r="A27" s="121"/>
      <c r="B27" s="243" t="s">
        <v>342</v>
      </c>
      <c r="C27" s="423" t="s">
        <v>295</v>
      </c>
      <c r="D27" s="425">
        <f>IF(D25=2,E49,H49)</f>
        <v>0.33333333333333331</v>
      </c>
      <c r="E27" s="425">
        <f>IF(E25=1,D27+K49,D27)</f>
        <v>0.3833333333333333</v>
      </c>
      <c r="F27" s="725">
        <f>IF(F25=0,Q49,IF(F25=-30%,S49,IF(F25=30%,R49)))</f>
        <v>0.3833333333333333</v>
      </c>
      <c r="G27" s="776">
        <f>IF(G25&lt;1,F27*(1+V49),F27)</f>
        <v>0.3833333333333333</v>
      </c>
      <c r="I27" s="589" t="s">
        <v>4</v>
      </c>
      <c r="J27" s="425">
        <f>J31/J22</f>
        <v>2.7161255811915776E-2</v>
      </c>
      <c r="K27" s="425">
        <f>K31/K22</f>
        <v>0.10540659627057501</v>
      </c>
      <c r="L27" s="425">
        <f>L31/L22</f>
        <v>0.21598715304659558</v>
      </c>
      <c r="M27" s="425">
        <f>M31/M22</f>
        <v>0.33901815994815515</v>
      </c>
      <c r="N27" s="425">
        <f>N31/N22</f>
        <v>0.39556966116694775</v>
      </c>
      <c r="O27" s="425">
        <f t="shared" ref="O27:S27" si="39">O31/O22</f>
        <v>0.43579972304501591</v>
      </c>
      <c r="P27" s="425">
        <f t="shared" si="39"/>
        <v>0.46272537159094662</v>
      </c>
      <c r="Q27" s="425">
        <f t="shared" si="39"/>
        <v>0.48273230520864652</v>
      </c>
      <c r="R27" s="425">
        <f t="shared" si="39"/>
        <v>0.50273310456542786</v>
      </c>
      <c r="S27" s="425">
        <f t="shared" si="39"/>
        <v>0.50272827592924152</v>
      </c>
      <c r="T27" s="425">
        <f t="shared" ref="T27:Y27" si="40">T31/T22</f>
        <v>0.50272336960980168</v>
      </c>
      <c r="U27" s="425">
        <f t="shared" si="40"/>
        <v>0.49771889336114189</v>
      </c>
      <c r="V27" s="425">
        <f t="shared" si="40"/>
        <v>0.48771479300984066</v>
      </c>
      <c r="W27" s="425">
        <f t="shared" si="40"/>
        <v>0.47771102311437369</v>
      </c>
      <c r="X27" s="425">
        <f t="shared" si="40"/>
        <v>0.46770754527395669</v>
      </c>
      <c r="Y27" s="425">
        <f t="shared" si="40"/>
        <v>0.20398907228682114</v>
      </c>
      <c r="Z27" s="261"/>
      <c r="AA27" s="589" t="s">
        <v>234</v>
      </c>
      <c r="AB27" s="426"/>
      <c r="AC27" s="568" t="s">
        <v>406</v>
      </c>
      <c r="AD27" s="5" t="s">
        <v>327</v>
      </c>
      <c r="AE27" t="s">
        <v>388</v>
      </c>
      <c r="AF27"/>
      <c r="AG27"/>
      <c r="AH27"/>
      <c r="AI27"/>
      <c r="AL27" s="89"/>
      <c r="AW27" s="90"/>
      <c r="AY27" s="69"/>
    </row>
    <row r="28" spans="1:51" ht="15.75" x14ac:dyDescent="0.25">
      <c r="A28" s="121"/>
      <c r="C28" s="423" t="s">
        <v>381</v>
      </c>
      <c r="D28" s="567">
        <f>D27</f>
        <v>0.33333333333333331</v>
      </c>
      <c r="E28" s="425">
        <f>IF(E26=1,D28+K50,D28)</f>
        <v>0.40333333333333332</v>
      </c>
      <c r="F28" s="725">
        <f>IF(F26=0,Q50,IF(F26=-30%,S50,IF(F26=30%,R50)))</f>
        <v>0.40333333333333332</v>
      </c>
      <c r="G28" s="261">
        <f>IF(G26=1,F28,F28*(1+V50))</f>
        <v>0.40333333333333332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AA28" s="5">
        <v>1</v>
      </c>
      <c r="AB28" s="426" t="s">
        <v>363</v>
      </c>
      <c r="AC28" s="5">
        <v>23.46</v>
      </c>
      <c r="AD28" s="5">
        <v>24.2</v>
      </c>
      <c r="AE28">
        <f>AC28*AD28</f>
        <v>567.73199999999997</v>
      </c>
      <c r="AF28"/>
      <c r="AG28"/>
      <c r="AH28"/>
      <c r="AI28"/>
      <c r="AL28" s="89"/>
      <c r="AW28" s="90"/>
      <c r="AY28" s="69"/>
    </row>
    <row r="29" spans="1:51" ht="15.75" x14ac:dyDescent="0.25">
      <c r="A29" s="121"/>
      <c r="B29" t="s">
        <v>236</v>
      </c>
      <c r="C29"/>
      <c r="D29"/>
      <c r="E29"/>
      <c r="F29"/>
      <c r="G29"/>
      <c r="H29"/>
      <c r="I29" t="s">
        <v>295</v>
      </c>
      <c r="J29" s="587">
        <f>J25*J20</f>
        <v>563.03607876282831</v>
      </c>
      <c r="K29" s="587">
        <f>K25*K20</f>
        <v>3090.7404655675637</v>
      </c>
      <c r="L29" s="587">
        <f>L25*L20</f>
        <v>5354.3691596010558</v>
      </c>
      <c r="M29" s="587">
        <f>M25*M20</f>
        <v>9063.6692937228036</v>
      </c>
      <c r="N29" s="587">
        <f>N25*N20</f>
        <v>11673.517239452029</v>
      </c>
      <c r="O29" s="587">
        <f t="shared" ref="O29:S30" si="41">O25*O20</f>
        <v>14125.138336166665</v>
      </c>
      <c r="P29" s="587">
        <f t="shared" si="41"/>
        <v>16832.485324153327</v>
      </c>
      <c r="Q29" s="587">
        <f t="shared" si="41"/>
        <v>19021.809215279998</v>
      </c>
      <c r="R29" s="587">
        <f t="shared" si="41"/>
        <v>21367.485821546667</v>
      </c>
      <c r="S29" s="587">
        <f t="shared" si="41"/>
        <v>22958.191922953334</v>
      </c>
      <c r="T29" s="587">
        <f t="shared" ref="T29:Y29" si="42">T25*T20</f>
        <v>24256.192739133334</v>
      </c>
      <c r="U29" s="587">
        <f t="shared" si="42"/>
        <v>25299.432885813334</v>
      </c>
      <c r="V29" s="587">
        <f t="shared" si="42"/>
        <v>26049.091389493333</v>
      </c>
      <c r="W29" s="587">
        <f t="shared" si="42"/>
        <v>26746.98859517333</v>
      </c>
      <c r="X29" s="587">
        <f t="shared" si="42"/>
        <v>27393.12450285333</v>
      </c>
      <c r="Y29" s="587">
        <f t="shared" si="42"/>
        <v>27987.499112533333</v>
      </c>
      <c r="Z29" s="579"/>
      <c r="AA29" s="5">
        <v>1</v>
      </c>
      <c r="AB29" s="425" t="s">
        <v>392</v>
      </c>
      <c r="AC29" s="5">
        <v>31.48</v>
      </c>
      <c r="AD29" s="5">
        <v>11.2</v>
      </c>
      <c r="AE29">
        <f t="shared" ref="AE29:AE39" si="43">AC29*AD29</f>
        <v>352.57599999999996</v>
      </c>
      <c r="AF29"/>
      <c r="AG29"/>
      <c r="AH29"/>
      <c r="AI29"/>
      <c r="AL29" s="89"/>
      <c r="AW29" s="90"/>
      <c r="AY29" s="69"/>
    </row>
    <row r="30" spans="1:51" ht="15.75" x14ac:dyDescent="0.25">
      <c r="A30" s="121"/>
      <c r="B30"/>
      <c r="C30"/>
      <c r="D30"/>
      <c r="E30"/>
      <c r="F30" s="3"/>
      <c r="G30"/>
      <c r="H30"/>
      <c r="I30" t="s">
        <v>381</v>
      </c>
      <c r="J30" s="21"/>
      <c r="K30" s="586">
        <f>K26*K21</f>
        <v>1176.8888076543999</v>
      </c>
      <c r="L30" s="586">
        <f>L26*L21</f>
        <v>7989.8498694815298</v>
      </c>
      <c r="M30" s="586">
        <f>M26*M21</f>
        <v>15684.716710877216</v>
      </c>
      <c r="N30" s="586">
        <f>N26*N21</f>
        <v>22311.03268932733</v>
      </c>
      <c r="O30" s="586">
        <f t="shared" si="41"/>
        <v>28132.096998441477</v>
      </c>
      <c r="P30" s="586">
        <f t="shared" si="41"/>
        <v>33132.38204230203</v>
      </c>
      <c r="Q30" s="586">
        <f t="shared" si="41"/>
        <v>38087.846135060536</v>
      </c>
      <c r="R30" s="586">
        <f t="shared" si="41"/>
        <v>42863.827844681931</v>
      </c>
      <c r="S30" s="586">
        <f t="shared" si="41"/>
        <v>45503.419547452977</v>
      </c>
      <c r="T30" s="586">
        <f t="shared" ref="T30:Y30" si="44">T26*T21</f>
        <v>47493.559313183367</v>
      </c>
      <c r="U30" s="586">
        <f t="shared" si="44"/>
        <v>48992.139154288794</v>
      </c>
      <c r="V30" s="586">
        <f t="shared" si="44"/>
        <v>49939.850269803785</v>
      </c>
      <c r="W30" s="586">
        <f t="shared" si="44"/>
        <v>50808.482984031449</v>
      </c>
      <c r="X30" s="586">
        <f t="shared" si="44"/>
        <v>51598.037296971823</v>
      </c>
      <c r="Y30" s="586">
        <f t="shared" si="44"/>
        <v>7798.7237874677039</v>
      </c>
      <c r="Z30" s="579"/>
      <c r="AA30" s="5">
        <v>1</v>
      </c>
      <c r="AB30" s="425" t="s">
        <v>326</v>
      </c>
      <c r="AC30" s="5">
        <v>30.12</v>
      </c>
      <c r="AD30" s="5">
        <v>36.200000000000003</v>
      </c>
      <c r="AE30">
        <f t="shared" si="43"/>
        <v>1090.3440000000001</v>
      </c>
      <c r="AF30"/>
      <c r="AG30"/>
      <c r="AH30"/>
      <c r="AI30"/>
      <c r="AL30" s="89"/>
      <c r="AW30" s="90"/>
      <c r="AY30" s="69"/>
    </row>
    <row r="31" spans="1:51" ht="15.75" x14ac:dyDescent="0.25">
      <c r="A31" s="121"/>
      <c r="B31"/>
      <c r="I31" s="589" t="s">
        <v>4</v>
      </c>
      <c r="J31" s="587">
        <f>J29+J30</f>
        <v>563.03607876282831</v>
      </c>
      <c r="K31" s="587">
        <f t="shared" ref="K31:S31" si="45">K29+K30</f>
        <v>4267.6292732219636</v>
      </c>
      <c r="L31" s="587">
        <f t="shared" si="45"/>
        <v>13344.219029082586</v>
      </c>
      <c r="M31" s="587">
        <f t="shared" si="45"/>
        <v>24748.386004600019</v>
      </c>
      <c r="N31" s="587">
        <f t="shared" si="45"/>
        <v>33984.549928779357</v>
      </c>
      <c r="O31" s="587">
        <f t="shared" si="45"/>
        <v>42257.235334608144</v>
      </c>
      <c r="P31" s="587">
        <f t="shared" si="45"/>
        <v>49964.867366455357</v>
      </c>
      <c r="Q31" s="587">
        <f t="shared" si="45"/>
        <v>57109.65535034053</v>
      </c>
      <c r="R31" s="587">
        <f t="shared" si="45"/>
        <v>64231.313666228598</v>
      </c>
      <c r="S31" s="587">
        <f t="shared" si="45"/>
        <v>68461.611470406307</v>
      </c>
      <c r="T31" s="587">
        <f t="shared" ref="T31:Y31" si="46">T29+T30</f>
        <v>71749.752052316704</v>
      </c>
      <c r="U31" s="587">
        <f t="shared" si="46"/>
        <v>74291.572040102124</v>
      </c>
      <c r="V31" s="587">
        <f t="shared" si="46"/>
        <v>75988.941659297125</v>
      </c>
      <c r="W31" s="587">
        <f t="shared" si="46"/>
        <v>77555.471579204779</v>
      </c>
      <c r="X31" s="587">
        <f t="shared" si="46"/>
        <v>78991.161799825146</v>
      </c>
      <c r="Y31" s="587">
        <f t="shared" si="46"/>
        <v>35786.222900001034</v>
      </c>
      <c r="Z31" s="579"/>
      <c r="AA31" s="5">
        <v>1</v>
      </c>
      <c r="AB31" s="425" t="s">
        <v>323</v>
      </c>
      <c r="AC31" s="5">
        <v>26.73</v>
      </c>
      <c r="AD31" s="5">
        <v>65.3</v>
      </c>
      <c r="AE31">
        <f t="shared" si="43"/>
        <v>1745.4690000000001</v>
      </c>
      <c r="AF31"/>
      <c r="AG31"/>
      <c r="AH31"/>
      <c r="AI31"/>
      <c r="AL31" s="89"/>
      <c r="AW31" s="90"/>
      <c r="AY31" s="69"/>
    </row>
    <row r="32" spans="1:51" ht="15.75" x14ac:dyDescent="0.25">
      <c r="A32" s="121"/>
      <c r="B32"/>
      <c r="C32" s="293"/>
      <c r="D32" s="287"/>
      <c r="E32" s="287"/>
      <c r="F32" s="590" t="s">
        <v>385</v>
      </c>
      <c r="G32" s="287"/>
      <c r="H32" s="315" t="s">
        <v>386</v>
      </c>
      <c r="I32" s="588" t="s">
        <v>194</v>
      </c>
      <c r="J32"/>
      <c r="K32" s="425">
        <f>K31/J31-1</f>
        <v>6.5796728383717795</v>
      </c>
      <c r="L32" s="425">
        <f t="shared" ref="L32:S32" si="47">L31/K31-1</f>
        <v>2.1268458843914533</v>
      </c>
      <c r="M32" s="425">
        <f t="shared" si="47"/>
        <v>0.85461479241782712</v>
      </c>
      <c r="N32" s="425">
        <f t="shared" si="47"/>
        <v>0.37320267763977011</v>
      </c>
      <c r="O32" s="425">
        <f t="shared" si="47"/>
        <v>0.24342489228680875</v>
      </c>
      <c r="P32" s="425">
        <f t="shared" si="47"/>
        <v>0.18239792477703243</v>
      </c>
      <c r="Q32" s="425">
        <f t="shared" si="47"/>
        <v>0.14299623636511294</v>
      </c>
      <c r="R32" s="425">
        <f t="shared" si="47"/>
        <v>0.12470147599736126</v>
      </c>
      <c r="S32" s="425">
        <f t="shared" si="47"/>
        <v>6.586036564906661E-2</v>
      </c>
      <c r="T32" s="425">
        <f t="shared" ref="T32" si="48">T31/S31-1</f>
        <v>4.8028968516637294E-2</v>
      </c>
      <c r="U32" s="425">
        <f t="shared" ref="U32" si="49">U31/T31-1</f>
        <v>3.5426184970396069E-2</v>
      </c>
      <c r="V32" s="425">
        <f t="shared" ref="V32" si="50">V31/U31-1</f>
        <v>2.2847404794163806E-2</v>
      </c>
      <c r="W32" s="425">
        <f t="shared" ref="W32" si="51">W31/V31-1</f>
        <v>2.0615235397425602E-2</v>
      </c>
      <c r="X32" s="425">
        <f t="shared" ref="X32" si="52">X31/W31-1</f>
        <v>1.8511785066694486E-2</v>
      </c>
      <c r="Y32" s="425">
        <f t="shared" ref="Y32" si="53">Y31/X31-1</f>
        <v>-0.54695915233291004</v>
      </c>
      <c r="Z32" s="261"/>
      <c r="AA32" s="5">
        <v>1</v>
      </c>
      <c r="AB32" s="425" t="s">
        <v>322</v>
      </c>
      <c r="AC32" s="5">
        <v>36.93</v>
      </c>
      <c r="AD32" s="5">
        <v>82.5</v>
      </c>
      <c r="AE32">
        <f t="shared" si="43"/>
        <v>3046.7249999999999</v>
      </c>
      <c r="AF32"/>
      <c r="AG32"/>
      <c r="AH32"/>
      <c r="AI32"/>
      <c r="AL32" s="89"/>
      <c r="AW32" s="90"/>
      <c r="AY32" s="69"/>
    </row>
    <row r="33" spans="1:51" ht="15.75" x14ac:dyDescent="0.25">
      <c r="A33" s="121"/>
      <c r="C33" s="592" t="s">
        <v>387</v>
      </c>
      <c r="E33" s="51">
        <v>160</v>
      </c>
      <c r="F33" s="436" t="s">
        <v>530</v>
      </c>
      <c r="H33" s="312">
        <v>100</v>
      </c>
      <c r="AA33" s="5">
        <v>1</v>
      </c>
      <c r="AB33" s="425" t="s">
        <v>324</v>
      </c>
      <c r="AC33" s="5">
        <v>26.01</v>
      </c>
      <c r="AD33" s="5">
        <v>61.2</v>
      </c>
      <c r="AE33">
        <f t="shared" si="43"/>
        <v>1591.8120000000001</v>
      </c>
      <c r="AF33"/>
      <c r="AG33"/>
      <c r="AH33"/>
      <c r="AI33"/>
      <c r="AL33" s="89"/>
      <c r="AW33" s="90"/>
      <c r="AY33" s="69"/>
    </row>
    <row r="34" spans="1:51" ht="15.75" x14ac:dyDescent="0.25">
      <c r="A34" s="121"/>
      <c r="B34" s="423" t="s">
        <v>544</v>
      </c>
      <c r="C34" s="592" t="s">
        <v>390</v>
      </c>
      <c r="E34" s="51">
        <v>40</v>
      </c>
      <c r="F34" s="593"/>
      <c r="H34" s="595"/>
      <c r="I34" t="s">
        <v>295</v>
      </c>
      <c r="J34" s="696">
        <f>$H$36*J29/1000</f>
        <v>8.2203267499372927</v>
      </c>
      <c r="K34" s="696">
        <f t="shared" ref="K34:Y35" si="54">$H$36*K29/1000</f>
        <v>45.124810797286429</v>
      </c>
      <c r="L34" s="696">
        <f t="shared" si="54"/>
        <v>78.173789730175415</v>
      </c>
      <c r="M34" s="696">
        <f t="shared" si="54"/>
        <v>132.32957168835293</v>
      </c>
      <c r="N34" s="696">
        <f t="shared" si="54"/>
        <v>170.43335169599962</v>
      </c>
      <c r="O34" s="696">
        <f t="shared" si="54"/>
        <v>206.22701970803331</v>
      </c>
      <c r="P34" s="696">
        <f t="shared" si="54"/>
        <v>245.75428573263858</v>
      </c>
      <c r="Q34" s="696">
        <f t="shared" si="54"/>
        <v>277.71841454308793</v>
      </c>
      <c r="R34" s="696">
        <f t="shared" si="54"/>
        <v>311.96529299458132</v>
      </c>
      <c r="S34" s="696">
        <f t="shared" si="54"/>
        <v>335.18960207511867</v>
      </c>
      <c r="T34" s="696">
        <f t="shared" si="54"/>
        <v>354.14041399134669</v>
      </c>
      <c r="U34" s="696">
        <f t="shared" si="54"/>
        <v>369.37172013287466</v>
      </c>
      <c r="V34" s="696">
        <f t="shared" si="54"/>
        <v>380.31673428660264</v>
      </c>
      <c r="W34" s="696">
        <f t="shared" si="54"/>
        <v>390.50603348953064</v>
      </c>
      <c r="X34" s="696">
        <f t="shared" si="54"/>
        <v>399.93961774165859</v>
      </c>
      <c r="Y34" s="696">
        <f t="shared" si="54"/>
        <v>408.61748704298668</v>
      </c>
      <c r="Z34" s="600"/>
      <c r="AA34" s="5">
        <v>1</v>
      </c>
      <c r="AB34" s="425" t="s">
        <v>393</v>
      </c>
      <c r="AC34" s="5">
        <v>31.48</v>
      </c>
      <c r="AD34" s="5">
        <v>16.899999999999999</v>
      </c>
      <c r="AE34">
        <f t="shared" si="43"/>
        <v>532.01199999999994</v>
      </c>
      <c r="AF34"/>
      <c r="AG34"/>
      <c r="AH34"/>
      <c r="AI34"/>
      <c r="AL34" s="89"/>
      <c r="AW34" s="90"/>
      <c r="AY34" s="69"/>
    </row>
    <row r="35" spans="1:51" ht="15.75" x14ac:dyDescent="0.25">
      <c r="A35" s="121"/>
      <c r="C35" s="594" t="s">
        <v>391</v>
      </c>
      <c r="E35" s="579">
        <v>365</v>
      </c>
      <c r="H35" s="289"/>
      <c r="I35" t="s">
        <v>381</v>
      </c>
      <c r="J35" s="427">
        <f>$H$36*J30/1000</f>
        <v>0</v>
      </c>
      <c r="K35" s="427">
        <f t="shared" si="54"/>
        <v>17.182576591754238</v>
      </c>
      <c r="L35" s="427">
        <f t="shared" si="54"/>
        <v>116.65180809443034</v>
      </c>
      <c r="M35" s="427">
        <f t="shared" si="54"/>
        <v>228.99686397880734</v>
      </c>
      <c r="N35" s="427">
        <f t="shared" si="54"/>
        <v>325.74107726417901</v>
      </c>
      <c r="O35" s="427">
        <f t="shared" si="54"/>
        <v>410.72861617724556</v>
      </c>
      <c r="P35" s="427">
        <f t="shared" si="54"/>
        <v>483.73277781760959</v>
      </c>
      <c r="Q35" s="427">
        <f t="shared" si="54"/>
        <v>556.08255357188386</v>
      </c>
      <c r="R35" s="427">
        <f t="shared" si="54"/>
        <v>625.8118865323562</v>
      </c>
      <c r="S35" s="427">
        <f t="shared" si="54"/>
        <v>664.34992539281336</v>
      </c>
      <c r="T35" s="427">
        <f t="shared" si="54"/>
        <v>693.40596597247713</v>
      </c>
      <c r="U35" s="427">
        <f t="shared" si="54"/>
        <v>715.2852316526164</v>
      </c>
      <c r="V35" s="427">
        <f t="shared" si="54"/>
        <v>729.12181393913534</v>
      </c>
      <c r="W35" s="427">
        <f t="shared" si="54"/>
        <v>741.80385156685918</v>
      </c>
      <c r="X35" s="427">
        <f t="shared" si="54"/>
        <v>753.33134453578862</v>
      </c>
      <c r="Y35" s="427">
        <f t="shared" si="54"/>
        <v>113.86136729702847</v>
      </c>
      <c r="Z35" s="600"/>
      <c r="AA35" s="5">
        <v>1</v>
      </c>
      <c r="AB35" s="425" t="s">
        <v>394</v>
      </c>
      <c r="AC35" s="5">
        <v>32.43</v>
      </c>
      <c r="AD35" s="5">
        <v>5.2</v>
      </c>
      <c r="AE35">
        <f t="shared" si="43"/>
        <v>168.636</v>
      </c>
      <c r="AF35"/>
      <c r="AG35"/>
      <c r="AH35"/>
      <c r="AI35"/>
      <c r="AL35" s="89"/>
      <c r="AW35" s="90"/>
      <c r="AY35" s="69"/>
    </row>
    <row r="36" spans="1:51" ht="15.75" x14ac:dyDescent="0.25">
      <c r="A36" s="121"/>
      <c r="C36" s="698" t="s">
        <v>531</v>
      </c>
      <c r="D36" s="21"/>
      <c r="E36" s="586">
        <f>E33/E34*E35</f>
        <v>1460</v>
      </c>
      <c r="F36" s="699" t="s">
        <v>532</v>
      </c>
      <c r="G36" s="21"/>
      <c r="H36" s="700">
        <f>E36/H33</f>
        <v>14.6</v>
      </c>
      <c r="I36" s="589" t="s">
        <v>4</v>
      </c>
      <c r="J36" s="600">
        <f>J34+J35</f>
        <v>8.2203267499372927</v>
      </c>
      <c r="K36" s="600">
        <f t="shared" ref="K36:Y36" si="55">K34+K35</f>
        <v>62.30738738904067</v>
      </c>
      <c r="L36" s="600">
        <f t="shared" si="55"/>
        <v>194.82559782460575</v>
      </c>
      <c r="M36" s="600">
        <f t="shared" si="55"/>
        <v>361.32643566716024</v>
      </c>
      <c r="N36" s="600">
        <f t="shared" si="55"/>
        <v>496.1744289601786</v>
      </c>
      <c r="O36" s="600">
        <f t="shared" si="55"/>
        <v>616.95563588527887</v>
      </c>
      <c r="P36" s="600">
        <f t="shared" si="55"/>
        <v>729.48706355024819</v>
      </c>
      <c r="Q36" s="600">
        <f t="shared" si="55"/>
        <v>833.80096811497174</v>
      </c>
      <c r="R36" s="600">
        <f t="shared" si="55"/>
        <v>937.77717952693752</v>
      </c>
      <c r="S36" s="600">
        <f t="shared" si="55"/>
        <v>999.53952746793198</v>
      </c>
      <c r="T36" s="600">
        <f t="shared" si="55"/>
        <v>1047.5463799638237</v>
      </c>
      <c r="U36" s="600">
        <f t="shared" si="55"/>
        <v>1084.6569517854909</v>
      </c>
      <c r="V36" s="600">
        <f t="shared" si="55"/>
        <v>1109.438548225738</v>
      </c>
      <c r="W36" s="600">
        <f t="shared" si="55"/>
        <v>1132.3098850563897</v>
      </c>
      <c r="X36" s="600">
        <f t="shared" si="55"/>
        <v>1153.2709622774473</v>
      </c>
      <c r="Y36" s="600">
        <f t="shared" si="55"/>
        <v>522.47885434001512</v>
      </c>
      <c r="Z36" s="600"/>
      <c r="AA36" s="5">
        <v>1</v>
      </c>
      <c r="AB36" s="425" t="s">
        <v>325</v>
      </c>
      <c r="AC36" s="5">
        <v>32.380000000000003</v>
      </c>
      <c r="AD36" s="5">
        <v>47.3</v>
      </c>
      <c r="AE36">
        <f t="shared" si="43"/>
        <v>1531.5740000000001</v>
      </c>
      <c r="AF36"/>
      <c r="AG36"/>
      <c r="AH36"/>
      <c r="AI36"/>
      <c r="AL36" s="89"/>
      <c r="AW36" s="90"/>
      <c r="AY36" s="69"/>
    </row>
    <row r="37" spans="1:51" ht="15.75" x14ac:dyDescent="0.25">
      <c r="A37" s="121"/>
      <c r="Z37" s="261"/>
      <c r="AA37" s="5">
        <v>1</v>
      </c>
      <c r="AB37" s="425" t="s">
        <v>395</v>
      </c>
      <c r="AC37" s="5">
        <v>26.96</v>
      </c>
      <c r="AD37" s="5">
        <v>9.8000000000000007</v>
      </c>
      <c r="AE37">
        <f t="shared" si="43"/>
        <v>264.20800000000003</v>
      </c>
      <c r="AF37"/>
      <c r="AG37"/>
      <c r="AH37"/>
      <c r="AI37"/>
      <c r="AL37" s="89"/>
      <c r="AW37" s="90"/>
      <c r="AY37" s="69"/>
    </row>
    <row r="38" spans="1:51" ht="15.75" x14ac:dyDescent="0.25">
      <c r="A38" s="121"/>
      <c r="B38" t="s">
        <v>404</v>
      </c>
      <c r="C38" s="293"/>
      <c r="D38" s="883" t="s">
        <v>606</v>
      </c>
      <c r="E38" s="884"/>
      <c r="F38" s="885"/>
      <c r="G38" s="810" t="s">
        <v>604</v>
      </c>
      <c r="H38" s="806" t="s">
        <v>605</v>
      </c>
      <c r="I38" t="s">
        <v>295</v>
      </c>
      <c r="J38" s="579">
        <f>J34*$H$40/1000</f>
        <v>71.165834772232131</v>
      </c>
      <c r="K38" s="579">
        <f t="shared" ref="K38:Y38" si="56">K34*$H$40/1000</f>
        <v>390.65902451534782</v>
      </c>
      <c r="L38" s="579">
        <f t="shared" si="56"/>
        <v>676.77394983104773</v>
      </c>
      <c r="M38" s="579">
        <f t="shared" si="56"/>
        <v>1145.6168009775779</v>
      </c>
      <c r="N38" s="579">
        <f t="shared" si="56"/>
        <v>1475.4926556377777</v>
      </c>
      <c r="O38" s="579">
        <f t="shared" si="56"/>
        <v>1785.3691777183569</v>
      </c>
      <c r="P38" s="579">
        <f t="shared" si="56"/>
        <v>2127.5685778731722</v>
      </c>
      <c r="Q38" s="579">
        <f t="shared" si="56"/>
        <v>2404.2916302238755</v>
      </c>
      <c r="R38" s="579">
        <f t="shared" si="56"/>
        <v>2700.7771310419894</v>
      </c>
      <c r="S38" s="579">
        <f t="shared" si="56"/>
        <v>2901.8369420449253</v>
      </c>
      <c r="T38" s="579">
        <f t="shared" si="56"/>
        <v>3065.8998060472859</v>
      </c>
      <c r="U38" s="579">
        <f t="shared" si="56"/>
        <v>3197.7617927063366</v>
      </c>
      <c r="V38" s="579">
        <f t="shared" si="56"/>
        <v>3292.5160637394056</v>
      </c>
      <c r="W38" s="579">
        <f t="shared" si="56"/>
        <v>3380.7278837289141</v>
      </c>
      <c r="X38" s="579">
        <f t="shared" si="56"/>
        <v>3462.3972526748612</v>
      </c>
      <c r="Y38" s="579">
        <f t="shared" si="56"/>
        <v>3537.5241705772492</v>
      </c>
      <c r="Z38"/>
      <c r="AA38" s="5">
        <v>1</v>
      </c>
      <c r="AB38" s="425" t="s">
        <v>396</v>
      </c>
      <c r="AC38" s="5">
        <v>35.46</v>
      </c>
      <c r="AD38" s="5">
        <v>8.3000000000000007</v>
      </c>
      <c r="AE38">
        <f t="shared" si="43"/>
        <v>294.31800000000004</v>
      </c>
      <c r="AF38"/>
      <c r="AG38"/>
      <c r="AH38"/>
      <c r="AI38"/>
      <c r="AL38" s="89"/>
      <c r="AW38" s="90"/>
      <c r="AY38" s="69"/>
    </row>
    <row r="39" spans="1:51" ht="15.75" x14ac:dyDescent="0.25">
      <c r="A39" s="121"/>
      <c r="C39" s="807"/>
      <c r="D39" s="804" t="s">
        <v>602</v>
      </c>
      <c r="E39" s="804" t="s">
        <v>603</v>
      </c>
      <c r="F39" s="804" t="s">
        <v>543</v>
      </c>
      <c r="G39" s="811" t="s">
        <v>607</v>
      </c>
      <c r="H39" s="809" t="s">
        <v>607</v>
      </c>
      <c r="I39" t="s">
        <v>381</v>
      </c>
      <c r="J39" s="586">
        <f>J35*$H$41/1000</f>
        <v>0</v>
      </c>
      <c r="K39" s="586">
        <f t="shared" ref="K39:Y39" si="57">K35*$H$41/1000</f>
        <v>53.555487815802238</v>
      </c>
      <c r="L39" s="586">
        <f t="shared" si="57"/>
        <v>363.58601131396142</v>
      </c>
      <c r="M39" s="586">
        <f t="shared" si="57"/>
        <v>713.74852852740025</v>
      </c>
      <c r="N39" s="586">
        <f t="shared" si="57"/>
        <v>1015.2855831237696</v>
      </c>
      <c r="O39" s="586">
        <f t="shared" si="57"/>
        <v>1280.1788650159629</v>
      </c>
      <c r="P39" s="586">
        <f t="shared" si="57"/>
        <v>1507.7217756123653</v>
      </c>
      <c r="Q39" s="586">
        <f t="shared" si="57"/>
        <v>1733.2250645512029</v>
      </c>
      <c r="R39" s="586">
        <f t="shared" si="57"/>
        <v>1950.5608303385463</v>
      </c>
      <c r="S39" s="586">
        <f t="shared" si="57"/>
        <v>2070.6780583697946</v>
      </c>
      <c r="T39" s="586">
        <f t="shared" si="57"/>
        <v>2161.2413344262154</v>
      </c>
      <c r="U39" s="586">
        <f t="shared" si="57"/>
        <v>2229.4356905109553</v>
      </c>
      <c r="V39" s="586">
        <f t="shared" si="57"/>
        <v>2272.5622210461729</v>
      </c>
      <c r="W39" s="586">
        <f t="shared" si="57"/>
        <v>2312.0902108109358</v>
      </c>
      <c r="X39" s="586">
        <f t="shared" si="57"/>
        <v>2348.0196598052448</v>
      </c>
      <c r="Y39" s="586">
        <f t="shared" si="57"/>
        <v>354.88863014252001</v>
      </c>
      <c r="Z39"/>
      <c r="AA39" s="428">
        <v>1</v>
      </c>
      <c r="AB39" s="428" t="s">
        <v>321</v>
      </c>
      <c r="AC39" s="428">
        <v>35.65</v>
      </c>
      <c r="AD39" s="428">
        <v>64.2</v>
      </c>
      <c r="AE39" s="21">
        <f t="shared" si="43"/>
        <v>2288.73</v>
      </c>
      <c r="AF39"/>
      <c r="AG39"/>
      <c r="AH39"/>
      <c r="AI39"/>
      <c r="AL39" s="89"/>
      <c r="AW39" s="90"/>
      <c r="AY39" s="69"/>
    </row>
    <row r="40" spans="1:51" ht="15.75" x14ac:dyDescent="0.25">
      <c r="A40" s="121"/>
      <c r="C40" s="804" t="s">
        <v>295</v>
      </c>
      <c r="D40" s="598">
        <f>AE49</f>
        <v>86.573000000000008</v>
      </c>
      <c r="E40" s="814">
        <f>AE49*$H$33</f>
        <v>8657.3000000000011</v>
      </c>
      <c r="F40" s="812">
        <f>D40*E36</f>
        <v>126396.58000000002</v>
      </c>
      <c r="G40" s="816">
        <f>F25</f>
        <v>0</v>
      </c>
      <c r="H40" s="813">
        <f>E40*(1+G40)</f>
        <v>8657.3000000000011</v>
      </c>
      <c r="I40" s="589" t="s">
        <v>4</v>
      </c>
      <c r="J40" s="579">
        <f>J38+J39</f>
        <v>71.165834772232131</v>
      </c>
      <c r="K40" s="579">
        <f t="shared" ref="K40" si="58">K38+K39</f>
        <v>444.21451233115005</v>
      </c>
      <c r="L40" s="579">
        <f t="shared" ref="L40" si="59">L38+L39</f>
        <v>1040.359961145009</v>
      </c>
      <c r="M40" s="579">
        <f t="shared" ref="M40" si="60">M38+M39</f>
        <v>1859.365329504978</v>
      </c>
      <c r="N40" s="579">
        <f t="shared" ref="N40" si="61">N38+N39</f>
        <v>2490.7782387615471</v>
      </c>
      <c r="O40" s="579">
        <f t="shared" ref="O40" si="62">O38+O39</f>
        <v>3065.54804273432</v>
      </c>
      <c r="P40" s="579">
        <f t="shared" ref="P40" si="63">P38+P39</f>
        <v>3635.2903534855377</v>
      </c>
      <c r="Q40" s="579">
        <f t="shared" ref="Q40" si="64">Q38+Q39</f>
        <v>4137.5166947750786</v>
      </c>
      <c r="R40" s="579">
        <f t="shared" ref="R40" si="65">R38+R39</f>
        <v>4651.3379613805355</v>
      </c>
      <c r="S40" s="579">
        <f t="shared" ref="S40" si="66">S38+S39</f>
        <v>4972.5150004147199</v>
      </c>
      <c r="T40" s="579">
        <f t="shared" ref="T40" si="67">T38+T39</f>
        <v>5227.1411404735009</v>
      </c>
      <c r="U40" s="579">
        <f t="shared" ref="U40" si="68">U38+U39</f>
        <v>5427.1974832172918</v>
      </c>
      <c r="V40" s="579">
        <f t="shared" ref="V40" si="69">V38+V39</f>
        <v>5565.0782847855789</v>
      </c>
      <c r="W40" s="579">
        <f t="shared" ref="W40" si="70">W38+W39</f>
        <v>5692.8180945398499</v>
      </c>
      <c r="X40" s="579">
        <f t="shared" ref="X40" si="71">X38+X39</f>
        <v>5810.4169124801065</v>
      </c>
      <c r="Y40" s="579">
        <f t="shared" ref="Y40" si="72">Y38+Y39</f>
        <v>3892.4128007197692</v>
      </c>
      <c r="Z40"/>
      <c r="AA40" s="5">
        <f>SUM(AA28:AA39)</f>
        <v>12</v>
      </c>
      <c r="AB40" s="425" t="s">
        <v>4</v>
      </c>
      <c r="AC40" s="5">
        <f>SUM(AC28:AC39)</f>
        <v>369.08999999999992</v>
      </c>
      <c r="AD40" s="5">
        <f>SUM(AD28:AD39)</f>
        <v>432.29999999999995</v>
      </c>
      <c r="AE40" s="5">
        <f>SUM(AE28:AE39)</f>
        <v>13474.136</v>
      </c>
      <c r="AF40"/>
      <c r="AG40"/>
      <c r="AH40"/>
      <c r="AI40"/>
      <c r="AL40" s="89"/>
      <c r="AW40" s="90"/>
      <c r="AY40" s="69"/>
    </row>
    <row r="41" spans="1:51" ht="15.75" x14ac:dyDescent="0.25">
      <c r="A41" s="121"/>
      <c r="C41" s="811" t="s">
        <v>381</v>
      </c>
      <c r="D41" s="566">
        <f>AE41</f>
        <v>31.168484848484852</v>
      </c>
      <c r="E41" s="815">
        <f>AE50*$H$33</f>
        <v>3116.848484848485</v>
      </c>
      <c r="F41" s="808">
        <f>E36*D41</f>
        <v>45505.987878787884</v>
      </c>
      <c r="G41" s="817">
        <f>F26</f>
        <v>0</v>
      </c>
      <c r="H41" s="585">
        <f>E41*(1+G41)</f>
        <v>3116.848484848485</v>
      </c>
      <c r="I41" s="588" t="s">
        <v>194</v>
      </c>
      <c r="J41"/>
      <c r="K41" s="425">
        <f t="shared" ref="K41:Y41" si="73">K40/J40-1</f>
        <v>5.2419630677117564</v>
      </c>
      <c r="L41" s="425">
        <f t="shared" si="73"/>
        <v>1.3420215509966242</v>
      </c>
      <c r="M41" s="425">
        <f t="shared" si="73"/>
        <v>0.78723268767338994</v>
      </c>
      <c r="N41" s="425">
        <f t="shared" si="73"/>
        <v>0.33958517954331824</v>
      </c>
      <c r="O41" s="425">
        <f t="shared" si="73"/>
        <v>0.23075912380644414</v>
      </c>
      <c r="P41" s="425">
        <f t="shared" si="73"/>
        <v>0.18585332958704348</v>
      </c>
      <c r="Q41" s="425">
        <f t="shared" si="73"/>
        <v>0.13815302010415853</v>
      </c>
      <c r="R41" s="425">
        <f t="shared" si="73"/>
        <v>0.12418590775822569</v>
      </c>
      <c r="S41" s="425">
        <f t="shared" si="73"/>
        <v>6.9050462834753468E-2</v>
      </c>
      <c r="T41" s="425">
        <f t="shared" si="73"/>
        <v>5.1206711299522478E-2</v>
      </c>
      <c r="U41" s="425">
        <f t="shared" si="73"/>
        <v>3.8272611618378694E-2</v>
      </c>
      <c r="V41" s="425">
        <f t="shared" si="73"/>
        <v>2.5405525042097699E-2</v>
      </c>
      <c r="W41" s="425">
        <f t="shared" si="73"/>
        <v>2.2953820812098957E-2</v>
      </c>
      <c r="X41" s="425">
        <f t="shared" si="73"/>
        <v>2.0657399549275812E-2</v>
      </c>
      <c r="Y41" s="425">
        <f t="shared" si="73"/>
        <v>-0.33009750258035453</v>
      </c>
      <c r="Z41"/>
      <c r="AA41" s="426"/>
      <c r="AB41" s="601" t="s">
        <v>399</v>
      </c>
      <c r="AC41" s="565">
        <f>AC40/AA40</f>
        <v>30.757499999999993</v>
      </c>
      <c r="AD41" s="602" t="s">
        <v>400</v>
      </c>
      <c r="AE41" s="603">
        <f>AE40/AD40</f>
        <v>31.168484848484852</v>
      </c>
      <c r="AF41"/>
      <c r="AG41"/>
      <c r="AH41"/>
      <c r="AI41"/>
      <c r="AL41" s="89"/>
      <c r="AW41" s="90"/>
      <c r="AY41" s="69"/>
    </row>
    <row r="42" spans="1:51" ht="15.75" x14ac:dyDescent="0.25">
      <c r="A42" s="121"/>
      <c r="F42" s="805"/>
      <c r="G42" s="805"/>
      <c r="H42" s="805"/>
      <c r="Z42"/>
      <c r="AA42" s="428">
        <v>1</v>
      </c>
      <c r="AB42" s="268" t="s">
        <v>362</v>
      </c>
      <c r="AC42" s="428">
        <v>26.37</v>
      </c>
      <c r="AD42" s="428">
        <v>126.6</v>
      </c>
      <c r="AE42" s="21">
        <f t="shared" ref="AE42" si="74">AC42*AD42</f>
        <v>3338.442</v>
      </c>
      <c r="AF42"/>
      <c r="AG42"/>
      <c r="AH42"/>
      <c r="AI42"/>
      <c r="AL42" s="89"/>
      <c r="AW42" s="90"/>
      <c r="AY42" s="69"/>
    </row>
    <row r="43" spans="1:51" ht="15.75" x14ac:dyDescent="0.25">
      <c r="A43" s="121"/>
      <c r="B43"/>
      <c r="C43" s="243" t="s">
        <v>529</v>
      </c>
      <c r="D43"/>
      <c r="E43"/>
      <c r="F43"/>
      <c r="G43"/>
      <c r="H43"/>
      <c r="I43"/>
      <c r="J43" s="426">
        <f t="shared" ref="J43:Y43" si="75">J40*1000/J31</f>
        <v>126.39658000000001</v>
      </c>
      <c r="K43" s="426">
        <f t="shared" si="75"/>
        <v>104.08929264743237</v>
      </c>
      <c r="L43" s="426">
        <f t="shared" si="75"/>
        <v>77.963345691316462</v>
      </c>
      <c r="M43" s="426">
        <f t="shared" si="75"/>
        <v>75.130771322193496</v>
      </c>
      <c r="N43" s="426">
        <f t="shared" si="75"/>
        <v>73.291488160985324</v>
      </c>
      <c r="O43" s="426">
        <f t="shared" si="75"/>
        <v>72.544926767219778</v>
      </c>
      <c r="P43" s="426">
        <f t="shared" si="75"/>
        <v>72.756929920845607</v>
      </c>
      <c r="Q43" s="426">
        <f t="shared" si="75"/>
        <v>72.448637089357035</v>
      </c>
      <c r="R43" s="426">
        <f t="shared" si="75"/>
        <v>72.415426306719084</v>
      </c>
      <c r="S43" s="426">
        <f t="shared" si="75"/>
        <v>72.632164122578004</v>
      </c>
      <c r="T43" s="426">
        <f t="shared" si="75"/>
        <v>72.852393087882774</v>
      </c>
      <c r="U43" s="426">
        <f t="shared" si="75"/>
        <v>73.052667135482395</v>
      </c>
      <c r="V43" s="426">
        <f t="shared" si="75"/>
        <v>73.235370348189349</v>
      </c>
      <c r="W43" s="426">
        <f t="shared" si="75"/>
        <v>73.403178120398223</v>
      </c>
      <c r="X43" s="426">
        <f t="shared" si="75"/>
        <v>73.557810520682438</v>
      </c>
      <c r="Y43" s="426">
        <f t="shared" si="75"/>
        <v>108.76847248161685</v>
      </c>
      <c r="Z43"/>
      <c r="AA43" s="5">
        <f>AA42+AA40</f>
        <v>13</v>
      </c>
      <c r="AB43" s="601" t="s">
        <v>399</v>
      </c>
      <c r="AC43" s="565">
        <f>(AC40+AC42)/AA43</f>
        <v>30.419999999999995</v>
      </c>
      <c r="AD43" s="588" t="s">
        <v>400</v>
      </c>
      <c r="AE43" s="565">
        <f>+(AE40+AE42)/(AD40+AD42)</f>
        <v>30.081549472177496</v>
      </c>
      <c r="AF43"/>
      <c r="AG43"/>
      <c r="AH43"/>
      <c r="AI43"/>
      <c r="AL43" s="89"/>
      <c r="AW43" s="90"/>
      <c r="AY43" s="69"/>
    </row>
    <row r="44" spans="1:51" x14ac:dyDescent="0.2">
      <c r="B44"/>
      <c r="C44" s="243" t="s">
        <v>533</v>
      </c>
      <c r="J44" s="696">
        <f t="shared" ref="J44:Y44" si="76">J43/$H$36</f>
        <v>8.6573000000000011</v>
      </c>
      <c r="K44" s="696">
        <f t="shared" si="76"/>
        <v>7.1294036059885189</v>
      </c>
      <c r="L44" s="696">
        <f t="shared" si="76"/>
        <v>5.3399551843367439</v>
      </c>
      <c r="M44" s="696">
        <f t="shared" si="76"/>
        <v>5.1459432412461297</v>
      </c>
      <c r="N44" s="696">
        <f t="shared" si="76"/>
        <v>5.0199649425332415</v>
      </c>
      <c r="O44" s="696">
        <f t="shared" si="76"/>
        <v>4.9688306004945053</v>
      </c>
      <c r="P44" s="696">
        <f t="shared" si="76"/>
        <v>4.9833513644414804</v>
      </c>
      <c r="Q44" s="696">
        <f t="shared" si="76"/>
        <v>4.9622354170792491</v>
      </c>
      <c r="R44" s="696">
        <f t="shared" si="76"/>
        <v>4.9599607059396638</v>
      </c>
      <c r="S44" s="696">
        <f t="shared" si="76"/>
        <v>4.9748057618204111</v>
      </c>
      <c r="T44" s="696">
        <f t="shared" si="76"/>
        <v>4.9898899375262173</v>
      </c>
      <c r="U44" s="696">
        <f t="shared" si="76"/>
        <v>5.0036073380467396</v>
      </c>
      <c r="V44" s="696">
        <f t="shared" si="76"/>
        <v>5.016121256725298</v>
      </c>
      <c r="W44" s="696">
        <f t="shared" si="76"/>
        <v>5.0276149397533034</v>
      </c>
      <c r="X44" s="696">
        <f t="shared" si="76"/>
        <v>5.0382062000467425</v>
      </c>
      <c r="Y44" s="696">
        <f t="shared" si="76"/>
        <v>7.4498953754532096</v>
      </c>
      <c r="Z44"/>
      <c r="AA44" s="425"/>
      <c r="AB44" s="425" t="s">
        <v>402</v>
      </c>
      <c r="AC44" s="606"/>
      <c r="AD44" s="606">
        <f>AD28+AD30</f>
        <v>60.400000000000006</v>
      </c>
      <c r="AE44" s="596"/>
      <c r="AF44"/>
      <c r="AG44"/>
      <c r="AH44"/>
      <c r="AI44"/>
      <c r="AL44" s="89"/>
      <c r="AW44" s="90"/>
      <c r="AY44" s="69"/>
    </row>
    <row r="45" spans="1:51" ht="15" x14ac:dyDescent="0.25">
      <c r="A45" s="292"/>
      <c r="B45"/>
      <c r="Z45"/>
      <c r="AA45" s="425"/>
      <c r="AB45" s="425"/>
      <c r="AC45" s="5" t="s">
        <v>403</v>
      </c>
      <c r="AD45" s="425">
        <f>AD44/AD40</f>
        <v>0.13971778857275044</v>
      </c>
      <c r="AE45"/>
      <c r="AF45"/>
      <c r="AG45"/>
      <c r="AH45"/>
      <c r="AI45"/>
      <c r="AL45" s="89"/>
      <c r="AW45" s="90"/>
      <c r="AY45" s="69"/>
    </row>
    <row r="46" spans="1:51" ht="15" x14ac:dyDescent="0.25">
      <c r="A46" s="285"/>
      <c r="B46" s="314" t="s">
        <v>341</v>
      </c>
      <c r="C46" s="886" t="s">
        <v>207</v>
      </c>
      <c r="D46" s="887"/>
      <c r="E46" s="887"/>
      <c r="F46" s="887"/>
      <c r="G46" s="887"/>
      <c r="H46" s="888"/>
      <c r="I46" s="287"/>
      <c r="J46" s="287"/>
      <c r="K46" s="287"/>
      <c r="L46" s="287"/>
      <c r="M46" s="287"/>
      <c r="N46" s="287"/>
      <c r="O46" s="287"/>
      <c r="P46" s="287"/>
      <c r="Q46" s="287"/>
      <c r="R46" s="287"/>
      <c r="S46" s="287"/>
      <c r="T46" s="287"/>
      <c r="U46" s="287"/>
      <c r="V46" s="287"/>
      <c r="W46" s="287"/>
      <c r="X46" s="287"/>
      <c r="Y46" s="288"/>
      <c r="Z46"/>
      <c r="AA46" s="425"/>
      <c r="AB46" s="425"/>
      <c r="AC46" s="5"/>
      <c r="AD46" s="425"/>
      <c r="AE46"/>
      <c r="AF46"/>
      <c r="AG46"/>
      <c r="AH46"/>
      <c r="AI46"/>
      <c r="AL46" s="89"/>
      <c r="AW46" s="90"/>
      <c r="AY46" s="69"/>
    </row>
    <row r="47" spans="1:51" ht="15" x14ac:dyDescent="0.25">
      <c r="A47" s="292"/>
      <c r="B47" s="10"/>
      <c r="C47" s="756" t="s">
        <v>205</v>
      </c>
      <c r="D47" s="431">
        <v>2</v>
      </c>
      <c r="E47" s="372" t="s">
        <v>206</v>
      </c>
      <c r="F47" s="431" t="s">
        <v>205</v>
      </c>
      <c r="G47" s="431">
        <v>3</v>
      </c>
      <c r="H47" s="315" t="s">
        <v>206</v>
      </c>
      <c r="J47" s="748" t="s">
        <v>569</v>
      </c>
      <c r="M47" s="549" t="s">
        <v>506</v>
      </c>
      <c r="O47" s="245"/>
      <c r="P47" s="694" t="s">
        <v>567</v>
      </c>
      <c r="T47" s="549" t="s">
        <v>568</v>
      </c>
      <c r="X47" s="615"/>
      <c r="Y47" s="749"/>
      <c r="AC47" s="883" t="s">
        <v>542</v>
      </c>
      <c r="AD47" s="884"/>
      <c r="AE47" s="885"/>
      <c r="AL47" s="89"/>
      <c r="AW47" s="90"/>
      <c r="AY47" s="69"/>
    </row>
    <row r="48" spans="1:51" ht="15" x14ac:dyDescent="0.25">
      <c r="A48" s="449"/>
      <c r="C48" s="757">
        <v>1</v>
      </c>
      <c r="D48" s="613">
        <f>1/C48</f>
        <v>1</v>
      </c>
      <c r="E48" s="614">
        <f>D48/$D$51</f>
        <v>0.66666666666666663</v>
      </c>
      <c r="F48" s="612">
        <v>1</v>
      </c>
      <c r="G48" s="613">
        <f>1/F48</f>
        <v>1</v>
      </c>
      <c r="H48" s="758">
        <f>G48/$G$51</f>
        <v>0.54545454545454553</v>
      </c>
      <c r="K48" s="243" t="s">
        <v>571</v>
      </c>
      <c r="M48" s="511" t="s">
        <v>564</v>
      </c>
      <c r="N48" s="433" t="s">
        <v>565</v>
      </c>
      <c r="O48" s="245" t="s">
        <v>566</v>
      </c>
      <c r="P48" s="51"/>
      <c r="Q48" s="511" t="s">
        <v>564</v>
      </c>
      <c r="R48" s="433" t="s">
        <v>565</v>
      </c>
      <c r="S48" s="245" t="s">
        <v>566</v>
      </c>
      <c r="T48" s="243" t="s">
        <v>644</v>
      </c>
      <c r="U48" s="243" t="s">
        <v>641</v>
      </c>
      <c r="V48" s="433" t="s">
        <v>642</v>
      </c>
      <c r="W48" s="726" t="s">
        <v>643</v>
      </c>
      <c r="Y48" s="749"/>
      <c r="AC48" s="616" t="s">
        <v>397</v>
      </c>
      <c r="AD48" s="576" t="s">
        <v>398</v>
      </c>
      <c r="AE48" s="695" t="s">
        <v>360</v>
      </c>
      <c r="AL48" s="89"/>
      <c r="AW48" s="90"/>
      <c r="AY48" s="69"/>
    </row>
    <row r="49" spans="1:51" ht="15" x14ac:dyDescent="0.25">
      <c r="A49" s="292"/>
      <c r="B49" s="10"/>
      <c r="C49" s="757">
        <v>2</v>
      </c>
      <c r="D49" s="613">
        <f>1/C49</f>
        <v>0.5</v>
      </c>
      <c r="E49" s="614">
        <f>D49/$D$51</f>
        <v>0.33333333333333331</v>
      </c>
      <c r="F49" s="612">
        <v>2</v>
      </c>
      <c r="G49" s="613">
        <f>1/F49</f>
        <v>0.5</v>
      </c>
      <c r="H49" s="758">
        <f>G49/$G$51</f>
        <v>0.27272727272727276</v>
      </c>
      <c r="J49" s="549" t="s">
        <v>295</v>
      </c>
      <c r="K49" s="750">
        <v>0.05</v>
      </c>
      <c r="M49" s="260">
        <v>0</v>
      </c>
      <c r="N49" s="260">
        <v>-0.05</v>
      </c>
      <c r="O49" s="260">
        <f>5%</f>
        <v>0.05</v>
      </c>
      <c r="P49" s="724">
        <f>E27</f>
        <v>0.3833333333333333</v>
      </c>
      <c r="Q49" s="260">
        <f>$P$49*(1+M49)</f>
        <v>0.3833333333333333</v>
      </c>
      <c r="R49" s="260">
        <f>$P$49*(1+N49)</f>
        <v>0.36416666666666664</v>
      </c>
      <c r="S49" s="260">
        <f>$P$49*(1+O49)</f>
        <v>0.40249999999999997</v>
      </c>
      <c r="T49" s="728">
        <f>Control!I14</f>
        <v>1</v>
      </c>
      <c r="U49" s="51">
        <f>IF(T49&lt;100%,0,1)</f>
        <v>1</v>
      </c>
      <c r="V49" s="260">
        <v>-0.25</v>
      </c>
      <c r="W49" s="260">
        <v>0</v>
      </c>
      <c r="Y49" s="751">
        <f>38/33</f>
        <v>1.1515151515151516</v>
      </c>
      <c r="AC49" s="597">
        <v>88.48</v>
      </c>
      <c r="AD49" s="598">
        <v>69.41</v>
      </c>
      <c r="AE49" s="599">
        <v>86.573000000000008</v>
      </c>
      <c r="AL49" s="89"/>
      <c r="AW49" s="90"/>
      <c r="AY49" s="69"/>
    </row>
    <row r="50" spans="1:51" ht="15" x14ac:dyDescent="0.25">
      <c r="A50" s="292"/>
      <c r="C50" s="759"/>
      <c r="D50" s="682"/>
      <c r="E50" s="683"/>
      <c r="F50" s="684">
        <v>3</v>
      </c>
      <c r="G50" s="682">
        <f>1/F50</f>
        <v>0.33333333333333331</v>
      </c>
      <c r="H50" s="760">
        <f>G50/$G$51</f>
        <v>0.18181818181818182</v>
      </c>
      <c r="J50" s="311" t="s">
        <v>381</v>
      </c>
      <c r="K50" s="750">
        <v>7.0000000000000007E-2</v>
      </c>
      <c r="M50" s="260">
        <v>0</v>
      </c>
      <c r="N50" s="260">
        <v>-0.25</v>
      </c>
      <c r="O50" s="260">
        <f>25%</f>
        <v>0.25</v>
      </c>
      <c r="P50" s="724">
        <f>E28</f>
        <v>0.40333333333333332</v>
      </c>
      <c r="Q50" s="260">
        <f>$P$50*(1++M50)</f>
        <v>0.40333333333333332</v>
      </c>
      <c r="R50" s="260">
        <f>$P$50*(1++N50)</f>
        <v>0.30249999999999999</v>
      </c>
      <c r="S50" s="260">
        <f>$P$50*(1++O50)</f>
        <v>0.50416666666666665</v>
      </c>
      <c r="T50" s="728">
        <f>Control!I15</f>
        <v>1</v>
      </c>
      <c r="U50" s="51">
        <f>IF(T50&lt;100%,0,1)</f>
        <v>1</v>
      </c>
      <c r="V50" s="260">
        <v>-0.25</v>
      </c>
      <c r="W50" s="260">
        <v>0</v>
      </c>
      <c r="Y50" s="751">
        <f>40/33</f>
        <v>1.2121212121212122</v>
      </c>
      <c r="Z50" s="607"/>
      <c r="AC50" s="290"/>
      <c r="AD50" s="21"/>
      <c r="AE50" s="604">
        <f>AE41</f>
        <v>31.168484848484852</v>
      </c>
      <c r="AL50" s="89"/>
      <c r="AW50" s="90"/>
      <c r="AY50" s="69"/>
    </row>
    <row r="51" spans="1:51" ht="15" x14ac:dyDescent="0.25">
      <c r="A51" s="294"/>
      <c r="B51" s="21"/>
      <c r="C51" s="761"/>
      <c r="D51" s="752">
        <f>SUM(D48:D50)</f>
        <v>1.5</v>
      </c>
      <c r="E51" s="685">
        <f>SUM(E48:E50)</f>
        <v>1</v>
      </c>
      <c r="F51" s="684"/>
      <c r="G51" s="752">
        <f>SUM(G48:G50)</f>
        <v>1.8333333333333333</v>
      </c>
      <c r="H51" s="760">
        <f>SUM(H48:H50)</f>
        <v>1.0000000000000002</v>
      </c>
      <c r="I51" s="21"/>
      <c r="J51" s="753"/>
      <c r="K51" s="683"/>
      <c r="L51" s="754"/>
      <c r="M51" s="754"/>
      <c r="N51" s="754"/>
      <c r="O51" s="754"/>
      <c r="P51" s="754"/>
      <c r="Q51" s="754"/>
      <c r="R51" s="754"/>
      <c r="S51" s="754"/>
      <c r="T51" s="754"/>
      <c r="U51" s="754"/>
      <c r="V51" s="754"/>
      <c r="W51" s="754"/>
      <c r="X51" s="754"/>
      <c r="Y51" s="755"/>
      <c r="Z51" s="253"/>
      <c r="AC51" s="889" t="s">
        <v>401</v>
      </c>
      <c r="AD51" s="890"/>
      <c r="AE51" s="891"/>
      <c r="AL51" s="89"/>
      <c r="AW51" s="90"/>
      <c r="AY51" s="69"/>
    </row>
    <row r="52" spans="1:51" ht="15" x14ac:dyDescent="0.25">
      <c r="A52" s="292"/>
      <c r="C52" s="238"/>
      <c r="D52" s="434"/>
      <c r="E52" s="614"/>
      <c r="F52" s="612"/>
      <c r="G52" s="434"/>
      <c r="H52" s="614"/>
      <c r="J52" s="15"/>
      <c r="K52" s="237"/>
      <c r="L52" s="615"/>
      <c r="M52" s="615"/>
      <c r="N52" s="615"/>
      <c r="O52" s="615"/>
      <c r="P52" s="615"/>
      <c r="Q52" s="615"/>
      <c r="R52" s="615"/>
      <c r="S52" s="615"/>
      <c r="T52" s="615"/>
      <c r="U52" s="615"/>
      <c r="V52" s="615"/>
      <c r="W52" s="615"/>
      <c r="X52" s="615"/>
      <c r="Y52" s="615"/>
      <c r="Z52" s="253"/>
      <c r="AA52" s="426"/>
      <c r="AB52" s="425"/>
      <c r="AC52" s="426"/>
      <c r="AD52" s="426"/>
      <c r="AE52" s="425"/>
      <c r="AF52" s="253"/>
      <c r="AL52" s="89"/>
      <c r="AW52" s="90"/>
      <c r="AY52" s="69"/>
    </row>
    <row r="53" spans="1:51" ht="15" x14ac:dyDescent="0.25">
      <c r="A53" s="285"/>
      <c r="B53" s="235" t="s">
        <v>592</v>
      </c>
      <c r="C53" s="798"/>
      <c r="D53" s="799"/>
      <c r="E53" s="800"/>
      <c r="F53" s="801"/>
      <c r="G53" s="799"/>
      <c r="H53" s="800"/>
      <c r="I53" s="287"/>
      <c r="J53" s="431">
        <v>2012</v>
      </c>
      <c r="K53" s="431">
        <v>2013</v>
      </c>
      <c r="L53" s="431">
        <v>2014</v>
      </c>
      <c r="M53" s="431">
        <v>2015</v>
      </c>
      <c r="N53" s="431">
        <v>2016</v>
      </c>
      <c r="O53" s="431">
        <v>2017</v>
      </c>
      <c r="P53" s="431">
        <v>2018</v>
      </c>
      <c r="Q53" s="431">
        <v>2019</v>
      </c>
      <c r="R53" s="431">
        <v>2020</v>
      </c>
      <c r="S53" s="431">
        <v>2021</v>
      </c>
      <c r="T53" s="756">
        <v>2022</v>
      </c>
      <c r="U53" s="431">
        <v>2023</v>
      </c>
      <c r="V53" s="431">
        <v>2024</v>
      </c>
      <c r="W53" s="431">
        <v>2025</v>
      </c>
      <c r="X53" s="431">
        <v>2026</v>
      </c>
      <c r="Y53" s="792">
        <v>2027</v>
      </c>
      <c r="Z53" s="253"/>
      <c r="AA53" s="426"/>
      <c r="AB53" s="425"/>
      <c r="AC53" s="426"/>
      <c r="AD53" s="426"/>
      <c r="AE53" s="425"/>
      <c r="AF53" s="253"/>
      <c r="AL53" s="89"/>
      <c r="AW53" s="90"/>
      <c r="AY53" s="69"/>
    </row>
    <row r="54" spans="1:51" ht="15" x14ac:dyDescent="0.25">
      <c r="A54" s="292"/>
      <c r="G54" s="434"/>
      <c r="H54" s="614"/>
      <c r="I54" s="11" t="s">
        <v>295</v>
      </c>
      <c r="J54" s="833">
        <v>0.17817391304347827</v>
      </c>
      <c r="K54" s="833">
        <v>0.51913043478260879</v>
      </c>
      <c r="L54" s="776">
        <v>0.65086956521739137</v>
      </c>
      <c r="M54" s="776">
        <v>0.88173913043478269</v>
      </c>
      <c r="N54" s="261">
        <v>1</v>
      </c>
      <c r="O54" s="778">
        <v>0.04</v>
      </c>
      <c r="P54" s="778">
        <v>0.04</v>
      </c>
      <c r="Q54" s="778">
        <v>0.02</v>
      </c>
      <c r="R54" s="778">
        <v>0.02</v>
      </c>
      <c r="S54" s="778">
        <v>0</v>
      </c>
      <c r="T54" s="831">
        <v>0</v>
      </c>
      <c r="U54" s="778">
        <v>-5.0000000000000001E-3</v>
      </c>
      <c r="V54" s="778">
        <v>-0.01</v>
      </c>
      <c r="W54" s="778">
        <v>-0.01</v>
      </c>
      <c r="X54" s="778">
        <v>-0.01</v>
      </c>
      <c r="Y54" s="679">
        <v>-0.01</v>
      </c>
      <c r="Z54" s="253"/>
      <c r="AA54" s="426"/>
      <c r="AB54" s="425"/>
      <c r="AC54" s="426"/>
      <c r="AD54" s="426"/>
      <c r="AE54" s="425"/>
      <c r="AF54" s="253"/>
      <c r="AL54" s="89"/>
      <c r="AW54" s="90"/>
      <c r="AY54" s="69"/>
    </row>
    <row r="55" spans="1:51" ht="15" x14ac:dyDescent="0.25">
      <c r="A55" s="292"/>
      <c r="G55" s="434"/>
      <c r="H55" s="614"/>
      <c r="I55" s="11" t="s">
        <v>381</v>
      </c>
      <c r="J55" s="833">
        <v>0</v>
      </c>
      <c r="K55" s="833">
        <v>0.12396694214876035</v>
      </c>
      <c r="L55" s="776">
        <v>0.52066115702479343</v>
      </c>
      <c r="M55" s="776">
        <v>0.8925619834710744</v>
      </c>
      <c r="N55" s="261">
        <v>1</v>
      </c>
      <c r="O55" s="778">
        <v>0.04</v>
      </c>
      <c r="P55" s="778">
        <v>0.02</v>
      </c>
      <c r="Q55" s="778">
        <v>0.02</v>
      </c>
      <c r="R55" s="778">
        <v>0.02</v>
      </c>
      <c r="S55" s="778">
        <v>0</v>
      </c>
      <c r="T55" s="831">
        <v>0</v>
      </c>
      <c r="U55" s="778">
        <v>-5.0000000000000001E-3</v>
      </c>
      <c r="V55" s="778">
        <v>-0.01</v>
      </c>
      <c r="W55" s="778">
        <v>-0.01</v>
      </c>
      <c r="X55" s="778">
        <v>-0.01</v>
      </c>
      <c r="Y55" s="679">
        <v>-0.4</v>
      </c>
      <c r="Z55" s="253"/>
      <c r="AA55" s="426"/>
      <c r="AB55" s="425"/>
      <c r="AC55" s="426"/>
      <c r="AD55" s="426"/>
      <c r="AE55" s="425"/>
      <c r="AF55" s="253"/>
      <c r="AL55" s="89"/>
      <c r="AW55" s="90"/>
      <c r="AY55" s="69"/>
    </row>
    <row r="56" spans="1:51" ht="15" x14ac:dyDescent="0.25">
      <c r="A56" s="292"/>
      <c r="C56" s="238" t="s">
        <v>645</v>
      </c>
      <c r="D56" s="434"/>
      <c r="E56" s="830" t="s">
        <v>295</v>
      </c>
      <c r="F56" s="826">
        <f>Control!J14</f>
        <v>1</v>
      </c>
      <c r="G56" s="770">
        <f>IF(F56&lt;100%,50%,100%)</f>
        <v>1</v>
      </c>
      <c r="H56" s="833">
        <f>IF(Control!I16&gt;0,100%,G56)</f>
        <v>1</v>
      </c>
      <c r="I56" s="11" t="s">
        <v>295</v>
      </c>
      <c r="J56" s="770"/>
      <c r="K56" s="770"/>
      <c r="L56" s="261"/>
      <c r="M56" s="261"/>
      <c r="N56" s="261"/>
      <c r="O56" s="778">
        <f>$H$56*O54</f>
        <v>0.04</v>
      </c>
      <c r="P56" s="778">
        <f t="shared" ref="P56:Y56" si="77">$H$56*P54</f>
        <v>0.04</v>
      </c>
      <c r="Q56" s="778">
        <f t="shared" si="77"/>
        <v>0.02</v>
      </c>
      <c r="R56" s="778">
        <f t="shared" si="77"/>
        <v>0.02</v>
      </c>
      <c r="S56" s="778">
        <f t="shared" si="77"/>
        <v>0</v>
      </c>
      <c r="T56" s="778">
        <f t="shared" si="77"/>
        <v>0</v>
      </c>
      <c r="U56" s="778">
        <f t="shared" si="77"/>
        <v>-5.0000000000000001E-3</v>
      </c>
      <c r="V56" s="778">
        <f t="shared" si="77"/>
        <v>-0.01</v>
      </c>
      <c r="W56" s="778">
        <f t="shared" si="77"/>
        <v>-0.01</v>
      </c>
      <c r="X56" s="778">
        <f t="shared" si="77"/>
        <v>-0.01</v>
      </c>
      <c r="Y56" s="778">
        <f t="shared" si="77"/>
        <v>-0.01</v>
      </c>
      <c r="Z56" s="253"/>
      <c r="AA56" s="426"/>
      <c r="AB56" s="425"/>
      <c r="AC56" s="426"/>
      <c r="AD56" s="426"/>
      <c r="AE56" s="425"/>
      <c r="AF56" s="253"/>
      <c r="AL56" s="89"/>
      <c r="AW56" s="90"/>
      <c r="AY56" s="69"/>
    </row>
    <row r="57" spans="1:51" ht="15" x14ac:dyDescent="0.25">
      <c r="A57" s="292"/>
      <c r="C57" s="238"/>
      <c r="D57" s="434"/>
      <c r="E57" s="830" t="s">
        <v>381</v>
      </c>
      <c r="F57" s="826">
        <f>Control!J15</f>
        <v>1</v>
      </c>
      <c r="G57" s="770">
        <f>IF(F57&lt;100%,50%,100%)</f>
        <v>1</v>
      </c>
      <c r="H57" s="833">
        <f>G57</f>
        <v>1</v>
      </c>
      <c r="I57" s="11" t="s">
        <v>381</v>
      </c>
      <c r="J57" s="770"/>
      <c r="K57" s="770"/>
      <c r="L57" s="261"/>
      <c r="M57" s="261"/>
      <c r="N57" s="261"/>
      <c r="O57" s="778">
        <f>$H$57*O55</f>
        <v>0.04</v>
      </c>
      <c r="P57" s="778">
        <f t="shared" ref="P57:Y57" si="78">$H$57*P55</f>
        <v>0.02</v>
      </c>
      <c r="Q57" s="778">
        <f t="shared" si="78"/>
        <v>0.02</v>
      </c>
      <c r="R57" s="778">
        <f t="shared" si="78"/>
        <v>0.02</v>
      </c>
      <c r="S57" s="778">
        <f t="shared" si="78"/>
        <v>0</v>
      </c>
      <c r="T57" s="778">
        <f t="shared" si="78"/>
        <v>0</v>
      </c>
      <c r="U57" s="778">
        <f t="shared" si="78"/>
        <v>-5.0000000000000001E-3</v>
      </c>
      <c r="V57" s="778">
        <f t="shared" si="78"/>
        <v>-0.01</v>
      </c>
      <c r="W57" s="778">
        <f t="shared" si="78"/>
        <v>-0.01</v>
      </c>
      <c r="X57" s="778">
        <f t="shared" si="78"/>
        <v>-0.01</v>
      </c>
      <c r="Y57" s="778">
        <f t="shared" si="78"/>
        <v>-0.4</v>
      </c>
      <c r="Z57" s="253"/>
      <c r="AA57" s="426"/>
      <c r="AB57" s="425"/>
      <c r="AC57" s="426"/>
      <c r="AD57" s="426"/>
      <c r="AE57" s="425"/>
      <c r="AF57" s="253"/>
      <c r="AL57" s="89"/>
      <c r="AW57" s="90"/>
      <c r="AY57" s="69"/>
    </row>
    <row r="58" spans="1:51" ht="15" x14ac:dyDescent="0.25">
      <c r="A58" s="294"/>
      <c r="B58" s="21"/>
      <c r="C58" s="791"/>
      <c r="D58" s="752"/>
      <c r="E58" s="685"/>
      <c r="F58" s="684"/>
      <c r="G58" s="752"/>
      <c r="H58" s="685"/>
      <c r="I58" s="802"/>
      <c r="J58" s="753"/>
      <c r="K58" s="683"/>
      <c r="L58" s="754"/>
      <c r="M58" s="754"/>
      <c r="N58" s="754"/>
      <c r="O58" s="754"/>
      <c r="P58" s="754"/>
      <c r="Q58" s="754"/>
      <c r="R58" s="754"/>
      <c r="S58" s="754"/>
      <c r="T58" s="832"/>
      <c r="U58" s="754"/>
      <c r="V58" s="754"/>
      <c r="W58" s="754"/>
      <c r="X58" s="754"/>
      <c r="Y58" s="755"/>
      <c r="Z58" s="253"/>
      <c r="AA58" s="426"/>
      <c r="AB58" s="425"/>
      <c r="AC58" s="426"/>
      <c r="AD58" s="426"/>
      <c r="AE58" s="425"/>
      <c r="AF58" s="253"/>
      <c r="AL58" s="89"/>
      <c r="AW58" s="90"/>
      <c r="AY58" s="69"/>
    </row>
    <row r="59" spans="1:51" ht="15" x14ac:dyDescent="0.25">
      <c r="A59" s="294"/>
      <c r="B59" s="21"/>
      <c r="C59" s="21"/>
      <c r="D59" s="21"/>
      <c r="E59" s="21"/>
      <c r="F59" s="791"/>
      <c r="G59" s="753"/>
      <c r="H59" s="683"/>
      <c r="I59" s="791"/>
      <c r="J59" s="753"/>
      <c r="K59" s="683"/>
      <c r="L59" s="754"/>
      <c r="M59" s="754"/>
      <c r="N59" s="754"/>
      <c r="O59" s="754"/>
      <c r="P59" s="754"/>
      <c r="Q59" s="754"/>
      <c r="R59" s="754"/>
      <c r="S59" s="754"/>
      <c r="T59" s="754"/>
      <c r="U59" s="754"/>
      <c r="V59" s="754"/>
      <c r="W59" s="754"/>
      <c r="X59" s="754"/>
      <c r="Y59" s="754"/>
      <c r="Z59" s="253"/>
      <c r="AA59" s="426"/>
      <c r="AB59" s="253"/>
      <c r="AC59" s="253"/>
      <c r="AD59" s="253"/>
      <c r="AE59" s="253"/>
      <c r="AF59" s="253"/>
      <c r="AL59" s="89"/>
      <c r="AW59" s="90"/>
      <c r="AY59" s="69"/>
    </row>
    <row r="60" spans="1:51" ht="15" x14ac:dyDescent="0.25">
      <c r="A60" s="909"/>
      <c r="B60" s="928" t="s">
        <v>601</v>
      </c>
      <c r="C60" s="929"/>
      <c r="D60" s="911"/>
      <c r="E60" s="930"/>
      <c r="F60" s="930"/>
      <c r="G60" s="930"/>
      <c r="H60" s="911"/>
      <c r="I60" s="911"/>
      <c r="J60" s="912">
        <v>2012</v>
      </c>
      <c r="K60" s="912">
        <f t="shared" ref="K60:Y60" si="79">J60+1</f>
        <v>2013</v>
      </c>
      <c r="L60" s="912">
        <f t="shared" si="79"/>
        <v>2014</v>
      </c>
      <c r="M60" s="912">
        <f t="shared" si="79"/>
        <v>2015</v>
      </c>
      <c r="N60" s="912">
        <f t="shared" si="79"/>
        <v>2016</v>
      </c>
      <c r="O60" s="912">
        <f t="shared" si="79"/>
        <v>2017</v>
      </c>
      <c r="P60" s="912">
        <f t="shared" si="79"/>
        <v>2018</v>
      </c>
      <c r="Q60" s="912">
        <f t="shared" si="79"/>
        <v>2019</v>
      </c>
      <c r="R60" s="912">
        <f t="shared" si="79"/>
        <v>2020</v>
      </c>
      <c r="S60" s="912">
        <f t="shared" si="79"/>
        <v>2021</v>
      </c>
      <c r="T60" s="912">
        <f t="shared" si="79"/>
        <v>2022</v>
      </c>
      <c r="U60" s="912">
        <f t="shared" si="79"/>
        <v>2023</v>
      </c>
      <c r="V60" s="912">
        <f t="shared" si="79"/>
        <v>2024</v>
      </c>
      <c r="W60" s="912">
        <f t="shared" si="79"/>
        <v>2025</v>
      </c>
      <c r="X60" s="912">
        <f t="shared" si="79"/>
        <v>2026</v>
      </c>
      <c r="Y60" s="913">
        <f t="shared" si="79"/>
        <v>2027</v>
      </c>
      <c r="Z60" s="12"/>
      <c r="AA60" s="12"/>
      <c r="AB60" s="12"/>
      <c r="AC60" s="12"/>
      <c r="AD60" s="12"/>
      <c r="AE60" s="12"/>
      <c r="AF60" s="12"/>
      <c r="AL60" s="89"/>
      <c r="AW60" s="90"/>
      <c r="AY60" s="69"/>
    </row>
    <row r="61" spans="1:51" ht="15.75" x14ac:dyDescent="0.25">
      <c r="A61" s="931"/>
      <c r="B61" s="394" t="s">
        <v>304</v>
      </c>
      <c r="C61" s="394"/>
      <c r="D61" s="906"/>
      <c r="E61" s="932">
        <f>E36</f>
        <v>1460</v>
      </c>
      <c r="F61" s="933" t="s">
        <v>305</v>
      </c>
      <c r="G61" s="933"/>
      <c r="H61" s="934"/>
      <c r="I61" s="906"/>
      <c r="J61" s="739">
        <f t="shared" ref="J61:Y61" si="80">$E$61*J31/1000000</f>
        <v>0.82203267499372934</v>
      </c>
      <c r="K61" s="739">
        <f t="shared" si="80"/>
        <v>6.2307387389040665</v>
      </c>
      <c r="L61" s="739">
        <f t="shared" si="80"/>
        <v>19.482559782460573</v>
      </c>
      <c r="M61" s="739">
        <f t="shared" si="80"/>
        <v>36.132643566716027</v>
      </c>
      <c r="N61" s="739">
        <f t="shared" si="80"/>
        <v>49.617442896017863</v>
      </c>
      <c r="O61" s="739">
        <f t="shared" si="80"/>
        <v>61.695563588527889</v>
      </c>
      <c r="P61" s="739">
        <f t="shared" si="80"/>
        <v>72.948706355024811</v>
      </c>
      <c r="Q61" s="739">
        <f t="shared" si="80"/>
        <v>83.380096811497182</v>
      </c>
      <c r="R61" s="739">
        <f t="shared" si="80"/>
        <v>93.777717952693749</v>
      </c>
      <c r="S61" s="739">
        <f t="shared" si="80"/>
        <v>99.953952746793206</v>
      </c>
      <c r="T61" s="739">
        <f t="shared" si="80"/>
        <v>104.75463799638239</v>
      </c>
      <c r="U61" s="739">
        <f t="shared" si="80"/>
        <v>108.4656951785491</v>
      </c>
      <c r="V61" s="739">
        <f t="shared" si="80"/>
        <v>110.9438548225738</v>
      </c>
      <c r="W61" s="739">
        <f t="shared" si="80"/>
        <v>113.23098850563898</v>
      </c>
      <c r="X61" s="739">
        <f t="shared" si="80"/>
        <v>115.32709622774472</v>
      </c>
      <c r="Y61" s="935">
        <f t="shared" si="80"/>
        <v>52.24788543400151</v>
      </c>
      <c r="Z61" s="12"/>
      <c r="AA61" s="12"/>
      <c r="AB61" s="12"/>
      <c r="AC61" s="12"/>
      <c r="AD61" s="12"/>
      <c r="AE61" s="12"/>
      <c r="AF61" s="12"/>
      <c r="AL61" s="89"/>
      <c r="AW61" s="90"/>
      <c r="AY61" s="69"/>
    </row>
    <row r="62" spans="1:51" ht="15.75" x14ac:dyDescent="0.25">
      <c r="A62" s="931"/>
      <c r="B62" s="394" t="s">
        <v>238</v>
      </c>
      <c r="C62" s="394"/>
      <c r="D62" s="906"/>
      <c r="E62" s="936">
        <v>40</v>
      </c>
      <c r="F62" s="937" t="s">
        <v>306</v>
      </c>
      <c r="G62" s="938"/>
      <c r="H62" s="934"/>
      <c r="I62" s="906"/>
      <c r="J62" s="739">
        <f t="shared" ref="J62:Y62" si="81">$E$62*J61</f>
        <v>32.881306999749171</v>
      </c>
      <c r="K62" s="739">
        <f t="shared" si="81"/>
        <v>249.22954955616265</v>
      </c>
      <c r="L62" s="739">
        <f t="shared" si="81"/>
        <v>779.30239129842289</v>
      </c>
      <c r="M62" s="739">
        <f t="shared" si="81"/>
        <v>1445.305742668641</v>
      </c>
      <c r="N62" s="739">
        <f t="shared" si="81"/>
        <v>1984.6977158407144</v>
      </c>
      <c r="O62" s="739">
        <f t="shared" si="81"/>
        <v>2467.8225435411155</v>
      </c>
      <c r="P62" s="739">
        <f t="shared" si="81"/>
        <v>2917.9482542009923</v>
      </c>
      <c r="Q62" s="739">
        <f t="shared" si="81"/>
        <v>3335.2038724598874</v>
      </c>
      <c r="R62" s="739">
        <f t="shared" si="81"/>
        <v>3751.1087181077501</v>
      </c>
      <c r="S62" s="739">
        <f t="shared" si="81"/>
        <v>3998.1581098717284</v>
      </c>
      <c r="T62" s="739">
        <f t="shared" si="81"/>
        <v>4190.1855198552958</v>
      </c>
      <c r="U62" s="739">
        <f t="shared" si="81"/>
        <v>4338.6278071419638</v>
      </c>
      <c r="V62" s="739">
        <f t="shared" si="81"/>
        <v>4437.7541929029521</v>
      </c>
      <c r="W62" s="739">
        <f t="shared" si="81"/>
        <v>4529.2395402255588</v>
      </c>
      <c r="X62" s="739">
        <f t="shared" si="81"/>
        <v>4613.0838491097884</v>
      </c>
      <c r="Y62" s="935">
        <f t="shared" si="81"/>
        <v>2089.9154173600605</v>
      </c>
      <c r="Z62" s="52"/>
      <c r="AA62" s="52"/>
      <c r="AB62" s="52"/>
      <c r="AC62" s="52"/>
      <c r="AD62" s="52"/>
      <c r="AE62" s="52"/>
      <c r="AF62" s="52"/>
      <c r="AL62" s="89"/>
      <c r="AW62" s="90"/>
      <c r="AY62" s="69"/>
    </row>
    <row r="63" spans="1:51" ht="15.75" x14ac:dyDescent="0.25">
      <c r="A63" s="931"/>
      <c r="B63" s="394" t="s">
        <v>298</v>
      </c>
      <c r="C63" s="394"/>
      <c r="D63" s="906" t="s">
        <v>4</v>
      </c>
      <c r="E63" s="936">
        <v>100</v>
      </c>
      <c r="F63" s="937" t="s">
        <v>307</v>
      </c>
      <c r="G63" s="938"/>
      <c r="H63" s="934"/>
      <c r="I63" s="906"/>
      <c r="J63" s="939">
        <f t="shared" ref="J63:Y63" si="82">J61*1000/$E$63</f>
        <v>8.2203267499372927</v>
      </c>
      <c r="K63" s="939">
        <f t="shared" si="82"/>
        <v>62.30738738904067</v>
      </c>
      <c r="L63" s="939">
        <f t="shared" si="82"/>
        <v>194.82559782460572</v>
      </c>
      <c r="M63" s="939">
        <f t="shared" si="82"/>
        <v>361.32643566716024</v>
      </c>
      <c r="N63" s="939">
        <f t="shared" si="82"/>
        <v>496.1744289601786</v>
      </c>
      <c r="O63" s="939">
        <f t="shared" si="82"/>
        <v>616.95563588527887</v>
      </c>
      <c r="P63" s="939">
        <f t="shared" si="82"/>
        <v>729.48706355024808</v>
      </c>
      <c r="Q63" s="939">
        <f t="shared" si="82"/>
        <v>833.80096811497174</v>
      </c>
      <c r="R63" s="939">
        <f t="shared" si="82"/>
        <v>937.77717952693752</v>
      </c>
      <c r="S63" s="939">
        <f t="shared" si="82"/>
        <v>999.53952746793209</v>
      </c>
      <c r="T63" s="939">
        <f t="shared" si="82"/>
        <v>1047.5463799638239</v>
      </c>
      <c r="U63" s="939">
        <f t="shared" si="82"/>
        <v>1084.6569517854909</v>
      </c>
      <c r="V63" s="939">
        <f t="shared" si="82"/>
        <v>1109.4385482257378</v>
      </c>
      <c r="W63" s="939">
        <f t="shared" si="82"/>
        <v>1132.3098850563897</v>
      </c>
      <c r="X63" s="939">
        <f t="shared" si="82"/>
        <v>1153.2709622774473</v>
      </c>
      <c r="Y63" s="940">
        <f t="shared" si="82"/>
        <v>522.47885434001512</v>
      </c>
      <c r="AA63" s="261"/>
      <c r="AB63" s="261"/>
      <c r="AC63" s="51"/>
      <c r="AD63" s="261"/>
      <c r="AL63" s="89"/>
      <c r="AW63" s="90"/>
      <c r="AY63" s="69"/>
    </row>
    <row r="64" spans="1:51" ht="15.75" x14ac:dyDescent="0.25">
      <c r="A64" s="931"/>
      <c r="B64" s="394"/>
      <c r="C64" s="394"/>
      <c r="D64" s="906"/>
      <c r="E64" s="941"/>
      <c r="F64" s="922"/>
      <c r="G64" s="918"/>
      <c r="H64" s="906"/>
      <c r="I64" s="906"/>
      <c r="J64" s="939"/>
      <c r="K64" s="939"/>
      <c r="L64" s="939"/>
      <c r="M64" s="939"/>
      <c r="N64" s="939"/>
      <c r="O64" s="939"/>
      <c r="P64" s="939"/>
      <c r="Q64" s="939"/>
      <c r="R64" s="939"/>
      <c r="S64" s="939"/>
      <c r="T64" s="939"/>
      <c r="U64" s="939"/>
      <c r="V64" s="939"/>
      <c r="W64" s="939"/>
      <c r="X64" s="939"/>
      <c r="Y64" s="940"/>
      <c r="AA64" s="261"/>
      <c r="AB64" s="261"/>
      <c r="AC64" s="51"/>
      <c r="AD64" s="261"/>
      <c r="AL64" s="89"/>
      <c r="AW64" s="90"/>
      <c r="AY64" s="69"/>
    </row>
    <row r="65" spans="1:51" ht="15.75" x14ac:dyDescent="0.25">
      <c r="A65" s="931"/>
      <c r="B65" s="394"/>
      <c r="C65" s="394"/>
      <c r="D65" s="906"/>
      <c r="E65" s="941"/>
      <c r="F65" s="922"/>
      <c r="G65" s="918"/>
      <c r="H65" s="906"/>
      <c r="I65" s="906"/>
      <c r="J65" s="939"/>
      <c r="K65" s="939"/>
      <c r="L65" s="939"/>
      <c r="M65" s="939"/>
      <c r="N65" s="939"/>
      <c r="O65" s="939"/>
      <c r="P65" s="939"/>
      <c r="Q65" s="939"/>
      <c r="R65" s="939"/>
      <c r="S65" s="939"/>
      <c r="T65" s="939"/>
      <c r="U65" s="939"/>
      <c r="V65" s="939"/>
      <c r="W65" s="939"/>
      <c r="X65" s="939"/>
      <c r="Y65" s="940"/>
      <c r="AA65" s="261"/>
      <c r="AB65" s="261"/>
      <c r="AC65" s="51"/>
      <c r="AD65" s="261"/>
      <c r="AL65" s="89"/>
      <c r="AW65" s="90"/>
      <c r="AY65" s="69"/>
    </row>
    <row r="66" spans="1:51" ht="15.75" x14ac:dyDescent="0.25">
      <c r="A66" s="931"/>
      <c r="B66" s="394" t="s">
        <v>299</v>
      </c>
      <c r="C66" s="394"/>
      <c r="D66" s="906"/>
      <c r="E66" s="941"/>
      <c r="F66" s="922"/>
      <c r="G66" s="918"/>
      <c r="H66" s="906"/>
      <c r="I66" s="906"/>
      <c r="J66" s="942"/>
      <c r="K66" s="942">
        <f t="shared" ref="K66:Y66" si="83">K28/K63*1000</f>
        <v>0</v>
      </c>
      <c r="L66" s="942">
        <f t="shared" si="83"/>
        <v>0</v>
      </c>
      <c r="M66" s="942">
        <f t="shared" si="83"/>
        <v>0</v>
      </c>
      <c r="N66" s="942">
        <f t="shared" si="83"/>
        <v>0</v>
      </c>
      <c r="O66" s="942">
        <f t="shared" si="83"/>
        <v>0</v>
      </c>
      <c r="P66" s="942">
        <f t="shared" si="83"/>
        <v>0</v>
      </c>
      <c r="Q66" s="942">
        <f t="shared" si="83"/>
        <v>0</v>
      </c>
      <c r="R66" s="942">
        <f t="shared" si="83"/>
        <v>0</v>
      </c>
      <c r="S66" s="942">
        <f t="shared" si="83"/>
        <v>0</v>
      </c>
      <c r="T66" s="942">
        <f t="shared" si="83"/>
        <v>0</v>
      </c>
      <c r="U66" s="942">
        <f t="shared" si="83"/>
        <v>0</v>
      </c>
      <c r="V66" s="942">
        <f t="shared" si="83"/>
        <v>0</v>
      </c>
      <c r="W66" s="942">
        <f t="shared" si="83"/>
        <v>0</v>
      </c>
      <c r="X66" s="942">
        <f t="shared" si="83"/>
        <v>0</v>
      </c>
      <c r="Y66" s="943">
        <f t="shared" si="83"/>
        <v>0</v>
      </c>
      <c r="AA66" s="261"/>
      <c r="AB66" s="261"/>
      <c r="AC66" s="51"/>
      <c r="AD66" s="261"/>
      <c r="AL66" s="89"/>
      <c r="AW66" s="90"/>
      <c r="AY66" s="69"/>
    </row>
    <row r="67" spans="1:51" ht="15.75" x14ac:dyDescent="0.25">
      <c r="A67" s="931"/>
      <c r="B67" s="394" t="s">
        <v>240</v>
      </c>
      <c r="C67" s="944"/>
      <c r="D67" s="945"/>
      <c r="E67" s="922" t="s">
        <v>528</v>
      </c>
      <c r="F67" s="906"/>
      <c r="G67" s="946">
        <f>COG!G12</f>
        <v>5625</v>
      </c>
      <c r="H67" s="906" t="s">
        <v>537</v>
      </c>
      <c r="I67" s="945"/>
      <c r="J67" s="939">
        <f t="shared" ref="J67:Y67" si="84">J63*1000/$G$67</f>
        <v>1.4613914222110742</v>
      </c>
      <c r="K67" s="939">
        <f t="shared" si="84"/>
        <v>11.076868869162785</v>
      </c>
      <c r="L67" s="939">
        <f t="shared" si="84"/>
        <v>34.635661835485465</v>
      </c>
      <c r="M67" s="939">
        <f t="shared" si="84"/>
        <v>64.235810785272932</v>
      </c>
      <c r="N67" s="939">
        <f t="shared" si="84"/>
        <v>88.208787370698417</v>
      </c>
      <c r="O67" s="939">
        <f t="shared" si="84"/>
        <v>109.68100193516068</v>
      </c>
      <c r="P67" s="939">
        <f t="shared" si="84"/>
        <v>129.68658907559964</v>
      </c>
      <c r="Q67" s="939">
        <f t="shared" si="84"/>
        <v>148.23128322043942</v>
      </c>
      <c r="R67" s="939">
        <f t="shared" si="84"/>
        <v>166.71594302701112</v>
      </c>
      <c r="S67" s="939">
        <f t="shared" si="84"/>
        <v>177.69591599429904</v>
      </c>
      <c r="T67" s="939">
        <f t="shared" si="84"/>
        <v>186.23046754912426</v>
      </c>
      <c r="U67" s="939">
        <f t="shared" si="84"/>
        <v>192.82790253964282</v>
      </c>
      <c r="V67" s="939">
        <f t="shared" si="84"/>
        <v>197.23351968457561</v>
      </c>
      <c r="W67" s="939">
        <f t="shared" si="84"/>
        <v>201.29953512113596</v>
      </c>
      <c r="X67" s="939">
        <f t="shared" si="84"/>
        <v>205.02594884932398</v>
      </c>
      <c r="Y67" s="940">
        <f t="shared" si="84"/>
        <v>92.885129660447134</v>
      </c>
      <c r="AD67" s="261"/>
      <c r="AL67" s="89"/>
      <c r="AW67" s="90"/>
      <c r="AY67" s="69"/>
    </row>
    <row r="68" spans="1:51" ht="15.75" x14ac:dyDescent="0.25">
      <c r="A68" s="931"/>
      <c r="B68" s="394" t="s">
        <v>240</v>
      </c>
      <c r="C68" s="394"/>
      <c r="D68" s="906"/>
      <c r="E68" s="922" t="s">
        <v>528</v>
      </c>
      <c r="F68" s="906"/>
      <c r="G68" s="946">
        <f>COG!K12</f>
        <v>11250</v>
      </c>
      <c r="H68" s="906" t="s">
        <v>537</v>
      </c>
      <c r="I68" s="906"/>
      <c r="J68" s="939">
        <f t="shared" ref="J68:Y68" si="85">J63*1000/$G$68</f>
        <v>0.7306957111055371</v>
      </c>
      <c r="K68" s="939">
        <f t="shared" si="85"/>
        <v>5.5384344345813927</v>
      </c>
      <c r="L68" s="939">
        <f t="shared" si="85"/>
        <v>17.317830917742732</v>
      </c>
      <c r="M68" s="939">
        <f t="shared" si="85"/>
        <v>32.117905392636466</v>
      </c>
      <c r="N68" s="939">
        <f t="shared" si="85"/>
        <v>44.104393685349208</v>
      </c>
      <c r="O68" s="939">
        <f t="shared" si="85"/>
        <v>54.84050096758034</v>
      </c>
      <c r="P68" s="939">
        <f t="shared" si="85"/>
        <v>64.843294537799821</v>
      </c>
      <c r="Q68" s="939">
        <f t="shared" si="85"/>
        <v>74.115641610219711</v>
      </c>
      <c r="R68" s="939">
        <f t="shared" si="85"/>
        <v>83.357971513505561</v>
      </c>
      <c r="S68" s="939">
        <f t="shared" si="85"/>
        <v>88.847957997149521</v>
      </c>
      <c r="T68" s="939">
        <f t="shared" si="85"/>
        <v>93.115233774562128</v>
      </c>
      <c r="U68" s="939">
        <f t="shared" si="85"/>
        <v>96.413951269821411</v>
      </c>
      <c r="V68" s="939">
        <f t="shared" si="85"/>
        <v>98.616759842287806</v>
      </c>
      <c r="W68" s="939">
        <f t="shared" si="85"/>
        <v>100.64976756056798</v>
      </c>
      <c r="X68" s="939">
        <f t="shared" si="85"/>
        <v>102.51297442466199</v>
      </c>
      <c r="Y68" s="940">
        <f t="shared" si="85"/>
        <v>46.442564830223567</v>
      </c>
      <c r="Z68"/>
      <c r="AF68"/>
      <c r="AG68"/>
      <c r="AH68"/>
      <c r="AI68"/>
      <c r="AL68" s="89"/>
      <c r="AW68" s="90"/>
      <c r="AY68" s="69"/>
    </row>
    <row r="69" spans="1:51" ht="15.75" x14ac:dyDescent="0.25">
      <c r="A69" s="931"/>
      <c r="B69" s="906"/>
      <c r="C69" s="947" t="s">
        <v>536</v>
      </c>
      <c r="D69" s="948">
        <v>24</v>
      </c>
      <c r="E69" s="922" t="s">
        <v>241</v>
      </c>
      <c r="F69" s="918"/>
      <c r="G69" s="906"/>
      <c r="H69" s="906"/>
      <c r="I69" s="906"/>
      <c r="J69" s="942">
        <f t="shared" ref="J69:Y69" si="86">IF(J68&gt;=$D$69,$G$68,$G$67)</f>
        <v>5625</v>
      </c>
      <c r="K69" s="942">
        <f t="shared" si="86"/>
        <v>5625</v>
      </c>
      <c r="L69" s="942">
        <f t="shared" si="86"/>
        <v>5625</v>
      </c>
      <c r="M69" s="942">
        <f t="shared" si="86"/>
        <v>11250</v>
      </c>
      <c r="N69" s="942">
        <f t="shared" si="86"/>
        <v>11250</v>
      </c>
      <c r="O69" s="942">
        <f t="shared" si="86"/>
        <v>11250</v>
      </c>
      <c r="P69" s="942">
        <f t="shared" si="86"/>
        <v>11250</v>
      </c>
      <c r="Q69" s="942">
        <f t="shared" si="86"/>
        <v>11250</v>
      </c>
      <c r="R69" s="942">
        <f t="shared" si="86"/>
        <v>11250</v>
      </c>
      <c r="S69" s="942">
        <f t="shared" si="86"/>
        <v>11250</v>
      </c>
      <c r="T69" s="942">
        <f t="shared" si="86"/>
        <v>11250</v>
      </c>
      <c r="U69" s="942">
        <f t="shared" si="86"/>
        <v>11250</v>
      </c>
      <c r="V69" s="942">
        <f t="shared" si="86"/>
        <v>11250</v>
      </c>
      <c r="W69" s="942">
        <f t="shared" si="86"/>
        <v>11250</v>
      </c>
      <c r="X69" s="942">
        <f t="shared" si="86"/>
        <v>11250</v>
      </c>
      <c r="Y69" s="943">
        <f t="shared" si="86"/>
        <v>11250</v>
      </c>
      <c r="Z69"/>
      <c r="AF69"/>
      <c r="AG69"/>
      <c r="AH69"/>
      <c r="AI69"/>
      <c r="AL69" s="89"/>
      <c r="AW69" s="90"/>
      <c r="AY69" s="69"/>
    </row>
    <row r="70" spans="1:51" ht="15.75" x14ac:dyDescent="0.25">
      <c r="A70" s="931"/>
      <c r="B70" s="394"/>
      <c r="C70" s="394"/>
      <c r="D70" s="906"/>
      <c r="E70" s="922" t="s">
        <v>242</v>
      </c>
      <c r="F70" s="918"/>
      <c r="G70" s="946"/>
      <c r="H70" s="906" t="s">
        <v>538</v>
      </c>
      <c r="I70" s="949">
        <f>SUM(J70:Y70)</f>
        <v>23.586961063429662</v>
      </c>
      <c r="J70" s="942">
        <f t="shared" ref="J70:Y70" si="87">IF(J69=$G$67,J68,0)</f>
        <v>0.7306957111055371</v>
      </c>
      <c r="K70" s="942">
        <f t="shared" si="87"/>
        <v>5.5384344345813927</v>
      </c>
      <c r="L70" s="942">
        <f t="shared" si="87"/>
        <v>17.317830917742732</v>
      </c>
      <c r="M70" s="942">
        <f t="shared" si="87"/>
        <v>0</v>
      </c>
      <c r="N70" s="942">
        <f t="shared" si="87"/>
        <v>0</v>
      </c>
      <c r="O70" s="942">
        <f t="shared" si="87"/>
        <v>0</v>
      </c>
      <c r="P70" s="942">
        <f t="shared" si="87"/>
        <v>0</v>
      </c>
      <c r="Q70" s="942">
        <f t="shared" si="87"/>
        <v>0</v>
      </c>
      <c r="R70" s="942">
        <f t="shared" si="87"/>
        <v>0</v>
      </c>
      <c r="S70" s="942">
        <f t="shared" si="87"/>
        <v>0</v>
      </c>
      <c r="T70" s="942">
        <f t="shared" si="87"/>
        <v>0</v>
      </c>
      <c r="U70" s="942">
        <f t="shared" si="87"/>
        <v>0</v>
      </c>
      <c r="V70" s="942">
        <f t="shared" si="87"/>
        <v>0</v>
      </c>
      <c r="W70" s="942">
        <f t="shared" si="87"/>
        <v>0</v>
      </c>
      <c r="X70" s="942">
        <f t="shared" si="87"/>
        <v>0</v>
      </c>
      <c r="Y70" s="943">
        <f t="shared" si="87"/>
        <v>0</v>
      </c>
      <c r="Z70"/>
      <c r="AF70"/>
      <c r="AG70"/>
      <c r="AH70"/>
      <c r="AI70"/>
      <c r="AL70" s="89"/>
      <c r="AW70" s="90"/>
      <c r="AY70" s="69"/>
    </row>
    <row r="71" spans="1:51" ht="15.75" x14ac:dyDescent="0.25">
      <c r="A71" s="931"/>
      <c r="B71" s="394"/>
      <c r="C71" s="394"/>
      <c r="D71" s="906"/>
      <c r="E71" s="922" t="s">
        <v>242</v>
      </c>
      <c r="F71" s="918"/>
      <c r="G71" s="946"/>
      <c r="H71" s="906" t="s">
        <v>538</v>
      </c>
      <c r="I71" s="949">
        <f>SUM(J71:Y71)</f>
        <v>979.97891740636555</v>
      </c>
      <c r="J71" s="949">
        <f t="shared" ref="J71:Y71" si="88">J68-J70</f>
        <v>0</v>
      </c>
      <c r="K71" s="949">
        <f t="shared" si="88"/>
        <v>0</v>
      </c>
      <c r="L71" s="949">
        <f t="shared" si="88"/>
        <v>0</v>
      </c>
      <c r="M71" s="949">
        <f t="shared" si="88"/>
        <v>32.117905392636466</v>
      </c>
      <c r="N71" s="949">
        <f t="shared" si="88"/>
        <v>44.104393685349208</v>
      </c>
      <c r="O71" s="949">
        <f t="shared" si="88"/>
        <v>54.84050096758034</v>
      </c>
      <c r="P71" s="949">
        <f t="shared" si="88"/>
        <v>64.843294537799821</v>
      </c>
      <c r="Q71" s="949">
        <f t="shared" si="88"/>
        <v>74.115641610219711</v>
      </c>
      <c r="R71" s="949">
        <f t="shared" si="88"/>
        <v>83.357971513505561</v>
      </c>
      <c r="S71" s="949">
        <f t="shared" si="88"/>
        <v>88.847957997149521</v>
      </c>
      <c r="T71" s="949">
        <f t="shared" si="88"/>
        <v>93.115233774562128</v>
      </c>
      <c r="U71" s="949">
        <f t="shared" si="88"/>
        <v>96.413951269821411</v>
      </c>
      <c r="V71" s="949">
        <f t="shared" si="88"/>
        <v>98.616759842287806</v>
      </c>
      <c r="W71" s="949">
        <f t="shared" si="88"/>
        <v>100.64976756056798</v>
      </c>
      <c r="X71" s="949">
        <f t="shared" si="88"/>
        <v>102.51297442466199</v>
      </c>
      <c r="Y71" s="950">
        <f t="shared" si="88"/>
        <v>46.442564830223567</v>
      </c>
      <c r="Z71"/>
      <c r="AF71"/>
      <c r="AG71"/>
      <c r="AH71"/>
      <c r="AI71"/>
      <c r="AL71" s="89"/>
      <c r="AW71" s="90"/>
      <c r="AY71" s="69"/>
    </row>
    <row r="72" spans="1:51" x14ac:dyDescent="0.2">
      <c r="A72" s="951"/>
      <c r="B72" s="706"/>
      <c r="C72" s="706"/>
      <c r="D72" s="706"/>
      <c r="E72" s="706"/>
      <c r="F72" s="706"/>
      <c r="G72" s="706"/>
      <c r="H72" s="706"/>
      <c r="I72" s="706"/>
      <c r="J72" s="706"/>
      <c r="K72" s="706"/>
      <c r="L72" s="706"/>
      <c r="M72" s="706"/>
      <c r="N72" s="706"/>
      <c r="O72" s="706"/>
      <c r="P72" s="706"/>
      <c r="Q72" s="706"/>
      <c r="R72" s="706"/>
      <c r="S72" s="706"/>
      <c r="T72" s="706"/>
      <c r="U72" s="706"/>
      <c r="V72" s="706"/>
      <c r="W72" s="706"/>
      <c r="X72" s="706"/>
      <c r="Y72" s="927"/>
      <c r="Z72"/>
      <c r="AF72"/>
      <c r="AG72"/>
      <c r="AH72"/>
      <c r="AI72"/>
      <c r="AL72" s="89"/>
      <c r="AW72" s="90"/>
      <c r="AY72" s="69"/>
    </row>
    <row r="73" spans="1:51" ht="15" x14ac:dyDescent="0.25">
      <c r="A73" s="909"/>
      <c r="B73" s="910" t="s">
        <v>646</v>
      </c>
      <c r="C73" s="911"/>
      <c r="D73" s="911"/>
      <c r="E73" s="911"/>
      <c r="F73" s="911"/>
      <c r="G73" s="911"/>
      <c r="H73" s="911"/>
      <c r="I73" s="911"/>
      <c r="J73" s="912">
        <v>2012</v>
      </c>
      <c r="K73" s="912">
        <f t="shared" ref="K73:Y73" si="89">J73+1</f>
        <v>2013</v>
      </c>
      <c r="L73" s="912">
        <f t="shared" si="89"/>
        <v>2014</v>
      </c>
      <c r="M73" s="912">
        <f t="shared" si="89"/>
        <v>2015</v>
      </c>
      <c r="N73" s="912">
        <f t="shared" si="89"/>
        <v>2016</v>
      </c>
      <c r="O73" s="912">
        <f t="shared" si="89"/>
        <v>2017</v>
      </c>
      <c r="P73" s="912">
        <f t="shared" si="89"/>
        <v>2018</v>
      </c>
      <c r="Q73" s="912">
        <f t="shared" si="89"/>
        <v>2019</v>
      </c>
      <c r="R73" s="912">
        <f t="shared" si="89"/>
        <v>2020</v>
      </c>
      <c r="S73" s="912">
        <f t="shared" si="89"/>
        <v>2021</v>
      </c>
      <c r="T73" s="912">
        <f t="shared" si="89"/>
        <v>2022</v>
      </c>
      <c r="U73" s="912">
        <f t="shared" si="89"/>
        <v>2023</v>
      </c>
      <c r="V73" s="912">
        <f t="shared" si="89"/>
        <v>2024</v>
      </c>
      <c r="W73" s="912">
        <f t="shared" si="89"/>
        <v>2025</v>
      </c>
      <c r="X73" s="912">
        <f t="shared" si="89"/>
        <v>2026</v>
      </c>
      <c r="Y73" s="913">
        <f t="shared" si="89"/>
        <v>2027</v>
      </c>
      <c r="Z73"/>
      <c r="AF73"/>
      <c r="AG73"/>
      <c r="AH73"/>
      <c r="AI73"/>
      <c r="AL73" s="89"/>
      <c r="AW73" s="90"/>
      <c r="AY73" s="69"/>
    </row>
    <row r="74" spans="1:51" x14ac:dyDescent="0.2">
      <c r="A74" s="914"/>
      <c r="B74" s="906" t="s">
        <v>609</v>
      </c>
      <c r="C74" s="906"/>
      <c r="D74" s="906"/>
      <c r="E74" s="906"/>
      <c r="F74" s="906"/>
      <c r="G74" s="906"/>
      <c r="H74" s="906"/>
      <c r="I74" s="906"/>
      <c r="J74" s="915">
        <f>J20</f>
        <v>8282.4652033042876</v>
      </c>
      <c r="K74" s="915">
        <f t="shared" ref="K74:Y74" si="90">K20</f>
        <v>15604.633052571517</v>
      </c>
      <c r="L74" s="915">
        <f t="shared" si="90"/>
        <v>21561.643411026893</v>
      </c>
      <c r="M74" s="915">
        <f t="shared" si="90"/>
        <v>26942.100358517084</v>
      </c>
      <c r="N74" s="915">
        <f t="shared" si="90"/>
        <v>30596.323360436912</v>
      </c>
      <c r="O74" s="915">
        <f t="shared" si="90"/>
        <v>33508.947500000002</v>
      </c>
      <c r="P74" s="915">
        <f t="shared" si="90"/>
        <v>36470.790099999998</v>
      </c>
      <c r="Q74" s="915">
        <f t="shared" si="90"/>
        <v>39502.580399999999</v>
      </c>
      <c r="R74" s="915">
        <f t="shared" si="90"/>
        <v>42604.318400000004</v>
      </c>
      <c r="S74" s="915">
        <f t="shared" si="90"/>
        <v>45776.004100000006</v>
      </c>
      <c r="T74" s="915">
        <f t="shared" si="90"/>
        <v>48364.069000000003</v>
      </c>
      <c r="U74" s="915">
        <f t="shared" si="90"/>
        <v>50952.133900000008</v>
      </c>
      <c r="V74" s="915">
        <f t="shared" si="90"/>
        <v>53540.198800000006</v>
      </c>
      <c r="W74" s="915">
        <f t="shared" si="90"/>
        <v>56128.263700000003</v>
      </c>
      <c r="X74" s="915">
        <f t="shared" si="90"/>
        <v>58716.328600000008</v>
      </c>
      <c r="Y74" s="916">
        <f t="shared" si="90"/>
        <v>61304.393500000013</v>
      </c>
      <c r="Z74"/>
      <c r="AF74"/>
      <c r="AG74"/>
      <c r="AH74"/>
      <c r="AI74"/>
      <c r="AL74" s="89"/>
      <c r="AW74" s="90"/>
      <c r="AY74" s="69"/>
    </row>
    <row r="75" spans="1:51" x14ac:dyDescent="0.2">
      <c r="A75" s="914"/>
      <c r="B75" s="906" t="s">
        <v>383</v>
      </c>
      <c r="C75" s="906"/>
      <c r="D75" s="906"/>
      <c r="E75" s="906"/>
      <c r="F75" s="906"/>
      <c r="G75" s="906"/>
      <c r="H75" s="906"/>
      <c r="I75" s="906"/>
      <c r="J75" s="907">
        <v>6.7979286956521737E-2</v>
      </c>
      <c r="K75" s="907">
        <v>0.1980655652173913</v>
      </c>
      <c r="L75" s="907">
        <v>0.24832843478260869</v>
      </c>
      <c r="M75" s="907">
        <v>0.33641286956521738</v>
      </c>
      <c r="N75" s="907">
        <v>0.38153333333333328</v>
      </c>
      <c r="O75" s="907">
        <v>0.42153333333333326</v>
      </c>
      <c r="P75" s="907">
        <v>0.46153333333333324</v>
      </c>
      <c r="Q75" s="907">
        <v>0.48153333333333326</v>
      </c>
      <c r="R75" s="907">
        <v>0.50153333333333328</v>
      </c>
      <c r="S75" s="907">
        <v>0.50153333333333328</v>
      </c>
      <c r="T75" s="907">
        <v>0.50153333333333328</v>
      </c>
      <c r="U75" s="907">
        <v>0.49653333333333327</v>
      </c>
      <c r="V75" s="907">
        <v>0.48653333333333326</v>
      </c>
      <c r="W75" s="907">
        <v>0.47653333333333325</v>
      </c>
      <c r="X75" s="907">
        <v>0.46653333333333324</v>
      </c>
      <c r="Y75" s="917">
        <v>0.45653333333333324</v>
      </c>
      <c r="Z75"/>
      <c r="AF75"/>
      <c r="AG75"/>
      <c r="AH75"/>
      <c r="AI75"/>
      <c r="AL75" s="89"/>
      <c r="AW75" s="90"/>
      <c r="AY75" s="69"/>
    </row>
    <row r="76" spans="1:51" x14ac:dyDescent="0.2">
      <c r="A76" s="914"/>
      <c r="B76" s="906" t="s">
        <v>608</v>
      </c>
      <c r="C76" s="906"/>
      <c r="D76" s="906"/>
      <c r="E76" s="906"/>
      <c r="F76" s="906"/>
      <c r="G76" s="906"/>
      <c r="H76" s="906"/>
      <c r="I76" s="906"/>
      <c r="J76" s="915">
        <f>J74*J75</f>
        <v>563.03607876282831</v>
      </c>
      <c r="K76" s="915">
        <f t="shared" ref="K76:Y76" si="91">K74*K75</f>
        <v>3090.7404655675637</v>
      </c>
      <c r="L76" s="915">
        <f t="shared" si="91"/>
        <v>5354.3691596010558</v>
      </c>
      <c r="M76" s="915">
        <f t="shared" si="91"/>
        <v>9063.6692937228036</v>
      </c>
      <c r="N76" s="915">
        <f t="shared" si="91"/>
        <v>11673.517239452029</v>
      </c>
      <c r="O76" s="915">
        <f t="shared" si="91"/>
        <v>14125.138336166665</v>
      </c>
      <c r="P76" s="915">
        <f t="shared" si="91"/>
        <v>16832.485324153327</v>
      </c>
      <c r="Q76" s="915">
        <f t="shared" si="91"/>
        <v>19021.809215279998</v>
      </c>
      <c r="R76" s="915">
        <f t="shared" si="91"/>
        <v>21367.485821546667</v>
      </c>
      <c r="S76" s="915">
        <f t="shared" si="91"/>
        <v>22958.191922953334</v>
      </c>
      <c r="T76" s="915">
        <f t="shared" si="91"/>
        <v>24256.192739133334</v>
      </c>
      <c r="U76" s="915">
        <f t="shared" si="91"/>
        <v>25299.432885813334</v>
      </c>
      <c r="V76" s="915">
        <f t="shared" si="91"/>
        <v>26049.091389493333</v>
      </c>
      <c r="W76" s="915">
        <f t="shared" si="91"/>
        <v>26746.98859517333</v>
      </c>
      <c r="X76" s="915">
        <f t="shared" si="91"/>
        <v>27393.12450285333</v>
      </c>
      <c r="Y76" s="916">
        <f t="shared" si="91"/>
        <v>27987.499112533333</v>
      </c>
      <c r="Z76"/>
      <c r="AF76"/>
      <c r="AG76"/>
      <c r="AH76"/>
      <c r="AI76"/>
      <c r="AL76" s="89"/>
      <c r="AW76" s="90"/>
      <c r="AY76" s="69"/>
    </row>
    <row r="77" spans="1:51" x14ac:dyDescent="0.2">
      <c r="A77" s="914"/>
      <c r="B77" s="906" t="s">
        <v>610</v>
      </c>
      <c r="C77" s="918" t="s">
        <v>611</v>
      </c>
      <c r="D77" s="919">
        <f>$H$36</f>
        <v>14.6</v>
      </c>
      <c r="E77" s="906"/>
      <c r="F77" s="906"/>
      <c r="G77" s="906"/>
      <c r="H77" s="906"/>
      <c r="I77" s="906"/>
      <c r="J77" s="920">
        <f>J76*$D$77/1000</f>
        <v>8.2203267499372927</v>
      </c>
      <c r="K77" s="920">
        <f t="shared" ref="K77:Y77" si="92">K76*$D$77/1000</f>
        <v>45.124810797286429</v>
      </c>
      <c r="L77" s="920">
        <f t="shared" si="92"/>
        <v>78.173789730175415</v>
      </c>
      <c r="M77" s="920">
        <f t="shared" si="92"/>
        <v>132.32957168835293</v>
      </c>
      <c r="N77" s="920">
        <f t="shared" si="92"/>
        <v>170.43335169599962</v>
      </c>
      <c r="O77" s="920">
        <f t="shared" si="92"/>
        <v>206.22701970803331</v>
      </c>
      <c r="P77" s="920">
        <f t="shared" si="92"/>
        <v>245.75428573263858</v>
      </c>
      <c r="Q77" s="920">
        <f t="shared" si="92"/>
        <v>277.71841454308793</v>
      </c>
      <c r="R77" s="920">
        <f t="shared" si="92"/>
        <v>311.96529299458132</v>
      </c>
      <c r="S77" s="920">
        <f t="shared" si="92"/>
        <v>335.18960207511867</v>
      </c>
      <c r="T77" s="920">
        <f t="shared" si="92"/>
        <v>354.14041399134669</v>
      </c>
      <c r="U77" s="920">
        <f t="shared" si="92"/>
        <v>369.37172013287466</v>
      </c>
      <c r="V77" s="920">
        <f t="shared" si="92"/>
        <v>380.31673428660264</v>
      </c>
      <c r="W77" s="920">
        <f t="shared" si="92"/>
        <v>390.50603348953064</v>
      </c>
      <c r="X77" s="920">
        <f t="shared" si="92"/>
        <v>399.93961774165859</v>
      </c>
      <c r="Y77" s="921">
        <f t="shared" si="92"/>
        <v>408.61748704298668</v>
      </c>
      <c r="Z77"/>
      <c r="AF77"/>
      <c r="AG77"/>
      <c r="AH77"/>
      <c r="AI77"/>
      <c r="AL77" s="89"/>
      <c r="AW77" s="90"/>
      <c r="AY77" s="69"/>
    </row>
    <row r="78" spans="1:51" x14ac:dyDescent="0.2">
      <c r="A78" s="914"/>
      <c r="B78" s="394" t="s">
        <v>277</v>
      </c>
      <c r="C78" s="918" t="s">
        <v>612</v>
      </c>
      <c r="D78" s="915">
        <f>$H$40</f>
        <v>8657.3000000000011</v>
      </c>
      <c r="E78" s="906"/>
      <c r="F78" s="906"/>
      <c r="G78" s="906"/>
      <c r="H78" s="906"/>
      <c r="I78" s="906"/>
      <c r="J78" s="915">
        <f>J77*$D$78/1000</f>
        <v>71.165834772232131</v>
      </c>
      <c r="K78" s="915">
        <f t="shared" ref="K78:Y78" si="93">K77*$D$78/1000</f>
        <v>390.65902451534782</v>
      </c>
      <c r="L78" s="915">
        <f t="shared" si="93"/>
        <v>676.77394983104773</v>
      </c>
      <c r="M78" s="915">
        <f t="shared" si="93"/>
        <v>1145.6168009775779</v>
      </c>
      <c r="N78" s="915">
        <f t="shared" si="93"/>
        <v>1475.4926556377777</v>
      </c>
      <c r="O78" s="915">
        <f t="shared" si="93"/>
        <v>1785.3691777183569</v>
      </c>
      <c r="P78" s="915">
        <f t="shared" si="93"/>
        <v>2127.5685778731722</v>
      </c>
      <c r="Q78" s="915">
        <f t="shared" si="93"/>
        <v>2404.2916302238755</v>
      </c>
      <c r="R78" s="915">
        <f t="shared" si="93"/>
        <v>2700.7771310419894</v>
      </c>
      <c r="S78" s="915">
        <f t="shared" si="93"/>
        <v>2901.8369420449253</v>
      </c>
      <c r="T78" s="915">
        <f t="shared" si="93"/>
        <v>3065.8998060472859</v>
      </c>
      <c r="U78" s="915">
        <f t="shared" si="93"/>
        <v>3197.7617927063366</v>
      </c>
      <c r="V78" s="915">
        <f t="shared" si="93"/>
        <v>3292.5160637394056</v>
      </c>
      <c r="W78" s="915">
        <f t="shared" si="93"/>
        <v>3380.7278837289141</v>
      </c>
      <c r="X78" s="915">
        <f t="shared" si="93"/>
        <v>3462.3972526748612</v>
      </c>
      <c r="Y78" s="916">
        <f t="shared" si="93"/>
        <v>3537.5241705772492</v>
      </c>
      <c r="Z78"/>
      <c r="AF78"/>
      <c r="AG78"/>
      <c r="AH78"/>
      <c r="AI78"/>
      <c r="AL78" s="89"/>
      <c r="AW78" s="90"/>
      <c r="AY78" s="69"/>
    </row>
    <row r="79" spans="1:51" x14ac:dyDescent="0.2">
      <c r="A79" s="914"/>
      <c r="B79" s="922" t="s">
        <v>613</v>
      </c>
      <c r="C79" s="918"/>
      <c r="D79" s="915"/>
      <c r="E79" s="906"/>
      <c r="F79" s="906"/>
      <c r="G79" s="906"/>
      <c r="H79" s="906"/>
      <c r="I79" s="906"/>
      <c r="J79" s="915">
        <f>COG!I57</f>
        <v>400.26388888888886</v>
      </c>
      <c r="K79" s="915">
        <f>COG!J57</f>
        <v>400.26388888888891</v>
      </c>
      <c r="L79" s="915">
        <f>COG!K57</f>
        <v>400.2638888888888</v>
      </c>
      <c r="M79" s="915">
        <f>COG!L57</f>
        <v>272.48611111111109</v>
      </c>
      <c r="N79" s="915">
        <f>COG!M57</f>
        <v>272.48611111111109</v>
      </c>
      <c r="O79" s="915">
        <f>COG!N57</f>
        <v>272.48611111111109</v>
      </c>
      <c r="P79" s="915">
        <f>COG!O57</f>
        <v>272.48611111111103</v>
      </c>
      <c r="Q79" s="915">
        <f>COG!P57</f>
        <v>272.48611111111103</v>
      </c>
      <c r="R79" s="915">
        <f>COG!Q57</f>
        <v>272.48611111111109</v>
      </c>
      <c r="S79" s="915">
        <f>COG!R57</f>
        <v>272.48611111111109</v>
      </c>
      <c r="T79" s="915">
        <f>S79</f>
        <v>272.48611111111109</v>
      </c>
      <c r="U79" s="915">
        <f t="shared" ref="U79:Y79" si="94">T79</f>
        <v>272.48611111111109</v>
      </c>
      <c r="V79" s="915">
        <f t="shared" si="94"/>
        <v>272.48611111111109</v>
      </c>
      <c r="W79" s="915">
        <f t="shared" si="94"/>
        <v>272.48611111111109</v>
      </c>
      <c r="X79" s="915">
        <f t="shared" si="94"/>
        <v>272.48611111111109</v>
      </c>
      <c r="Y79" s="916">
        <f t="shared" si="94"/>
        <v>272.48611111111109</v>
      </c>
      <c r="Z79"/>
      <c r="AF79"/>
      <c r="AG79"/>
      <c r="AH79"/>
      <c r="AI79"/>
      <c r="AL79" s="89"/>
      <c r="AW79" s="90"/>
      <c r="AY79" s="69"/>
    </row>
    <row r="80" spans="1:51" x14ac:dyDescent="0.2">
      <c r="A80" s="914"/>
      <c r="B80" s="394" t="s">
        <v>44</v>
      </c>
      <c r="C80" s="906"/>
      <c r="D80" s="906"/>
      <c r="E80" s="906"/>
      <c r="F80" s="906"/>
      <c r="G80" s="906"/>
      <c r="H80" s="906"/>
      <c r="I80" s="906"/>
      <c r="J80" s="915">
        <f>J77*J79/1000</f>
        <v>3.2902999528672612</v>
      </c>
      <c r="K80" s="915">
        <f t="shared" ref="K80:Y80" si="95">K77*K79/1000</f>
        <v>18.06183225509719</v>
      </c>
      <c r="L80" s="915">
        <f t="shared" si="95"/>
        <v>31.290145086582289</v>
      </c>
      <c r="M80" s="915">
        <f t="shared" si="95"/>
        <v>36.05797037435827</v>
      </c>
      <c r="N80" s="915">
        <f t="shared" si="95"/>
        <v>46.440721207275224</v>
      </c>
      <c r="O80" s="915">
        <f t="shared" si="95"/>
        <v>56.193998606276459</v>
      </c>
      <c r="P80" s="915">
        <f t="shared" si="95"/>
        <v>66.964629608175485</v>
      </c>
      <c r="Q80" s="915">
        <f t="shared" si="95"/>
        <v>75.674410762789449</v>
      </c>
      <c r="R80" s="915">
        <f t="shared" si="95"/>
        <v>85.006209489731816</v>
      </c>
      <c r="S80" s="915">
        <f t="shared" si="95"/>
        <v>91.334511154329903</v>
      </c>
      <c r="T80" s="915">
        <f t="shared" si="95"/>
        <v>96.498344195780973</v>
      </c>
      <c r="U80" s="915">
        <f t="shared" si="95"/>
        <v>100.64866357342871</v>
      </c>
      <c r="V80" s="915">
        <f t="shared" si="95"/>
        <v>103.63102791623412</v>
      </c>
      <c r="W80" s="915">
        <f t="shared" si="95"/>
        <v>106.4074704309875</v>
      </c>
      <c r="X80" s="915">
        <f t="shared" si="95"/>
        <v>108.97799111768889</v>
      </c>
      <c r="Y80" s="916">
        <f t="shared" si="95"/>
        <v>111.34258997633826</v>
      </c>
      <c r="Z80"/>
      <c r="AF80"/>
      <c r="AG80"/>
      <c r="AH80"/>
      <c r="AI80"/>
      <c r="AL80" s="89"/>
      <c r="AW80" s="90"/>
      <c r="AY80" s="69"/>
    </row>
    <row r="81" spans="1:52" x14ac:dyDescent="0.2">
      <c r="A81" s="914"/>
      <c r="B81" s="394" t="s">
        <v>8</v>
      </c>
      <c r="C81" s="906"/>
      <c r="D81" s="923">
        <v>0.03</v>
      </c>
      <c r="E81" s="906"/>
      <c r="F81" s="906"/>
      <c r="G81" s="906"/>
      <c r="H81" s="906"/>
      <c r="I81" s="906"/>
      <c r="J81" s="924">
        <f>$D$81*J78</f>
        <v>2.1349750431669641</v>
      </c>
      <c r="K81" s="924">
        <f t="shared" ref="K81:Y81" si="96">$D$81*K78</f>
        <v>11.719770735460434</v>
      </c>
      <c r="L81" s="924">
        <f t="shared" si="96"/>
        <v>20.303218494931432</v>
      </c>
      <c r="M81" s="924">
        <f t="shared" si="96"/>
        <v>34.368504029327333</v>
      </c>
      <c r="N81" s="924">
        <f t="shared" si="96"/>
        <v>44.264779669133333</v>
      </c>
      <c r="O81" s="924">
        <f t="shared" si="96"/>
        <v>53.561075331550704</v>
      </c>
      <c r="P81" s="924">
        <f t="shared" si="96"/>
        <v>63.827057336195168</v>
      </c>
      <c r="Q81" s="924">
        <f t="shared" si="96"/>
        <v>72.128748906716268</v>
      </c>
      <c r="R81" s="924">
        <f t="shared" si="96"/>
        <v>81.023313931259679</v>
      </c>
      <c r="S81" s="924">
        <f t="shared" si="96"/>
        <v>87.055108261347755</v>
      </c>
      <c r="T81" s="924">
        <f t="shared" si="96"/>
        <v>91.976994181418576</v>
      </c>
      <c r="U81" s="924">
        <f t="shared" si="96"/>
        <v>95.93285378119009</v>
      </c>
      <c r="V81" s="924">
        <f t="shared" si="96"/>
        <v>98.775481912182158</v>
      </c>
      <c r="W81" s="924">
        <f t="shared" si="96"/>
        <v>101.42183651186743</v>
      </c>
      <c r="X81" s="924">
        <f t="shared" si="96"/>
        <v>103.87191758024584</v>
      </c>
      <c r="Y81" s="925">
        <f t="shared" si="96"/>
        <v>106.12572511731747</v>
      </c>
      <c r="Z81"/>
      <c r="AF81"/>
      <c r="AG81"/>
      <c r="AH81"/>
      <c r="AI81"/>
      <c r="AL81" s="89"/>
      <c r="AW81" s="90"/>
      <c r="AY81" s="69"/>
    </row>
    <row r="82" spans="1:52" x14ac:dyDescent="0.2">
      <c r="A82" s="914"/>
      <c r="B82" s="394" t="s">
        <v>29</v>
      </c>
      <c r="C82" s="906"/>
      <c r="D82" s="906"/>
      <c r="E82" s="906"/>
      <c r="F82" s="906"/>
      <c r="G82" s="906"/>
      <c r="H82" s="906"/>
      <c r="I82" s="906"/>
      <c r="J82" s="915">
        <f>J78-J80-J81</f>
        <v>65.740559776197912</v>
      </c>
      <c r="K82" s="915">
        <f t="shared" ref="K82:Y82" si="97">K78-K80-K81</f>
        <v>360.87742152479018</v>
      </c>
      <c r="L82" s="915">
        <f t="shared" si="97"/>
        <v>625.18058624953403</v>
      </c>
      <c r="M82" s="915">
        <f t="shared" si="97"/>
        <v>1075.1903265738922</v>
      </c>
      <c r="N82" s="915">
        <f t="shared" si="97"/>
        <v>1384.7871547613693</v>
      </c>
      <c r="O82" s="915">
        <f t="shared" si="97"/>
        <v>1675.6141037805298</v>
      </c>
      <c r="P82" s="915">
        <f t="shared" si="97"/>
        <v>1996.7768909288015</v>
      </c>
      <c r="Q82" s="915">
        <f t="shared" si="97"/>
        <v>2256.4884705543695</v>
      </c>
      <c r="R82" s="915">
        <f t="shared" si="97"/>
        <v>2534.7476076209982</v>
      </c>
      <c r="S82" s="915">
        <f t="shared" si="97"/>
        <v>2723.4473226292475</v>
      </c>
      <c r="T82" s="915">
        <f t="shared" si="97"/>
        <v>2877.4244676700864</v>
      </c>
      <c r="U82" s="915">
        <f t="shared" si="97"/>
        <v>3001.1802753517177</v>
      </c>
      <c r="V82" s="915">
        <f t="shared" si="97"/>
        <v>3090.1095539109892</v>
      </c>
      <c r="W82" s="915">
        <f t="shared" si="97"/>
        <v>3172.8985767860595</v>
      </c>
      <c r="X82" s="915">
        <f t="shared" si="97"/>
        <v>3249.5473439769266</v>
      </c>
      <c r="Y82" s="916">
        <f t="shared" si="97"/>
        <v>3320.0558554835934</v>
      </c>
      <c r="Z82"/>
      <c r="AF82"/>
      <c r="AG82"/>
      <c r="AH82"/>
      <c r="AI82"/>
      <c r="AL82" s="89"/>
      <c r="AW82" s="90"/>
      <c r="AY82" s="69"/>
    </row>
    <row r="83" spans="1:52" x14ac:dyDescent="0.2">
      <c r="A83" s="914"/>
      <c r="B83" s="394"/>
      <c r="C83" s="906"/>
      <c r="D83" s="906"/>
      <c r="E83" s="906"/>
      <c r="F83" s="906"/>
      <c r="G83" s="906"/>
      <c r="H83" s="906"/>
      <c r="I83" s="906"/>
      <c r="J83" s="915"/>
      <c r="K83" s="915"/>
      <c r="L83" s="915"/>
      <c r="M83" s="915"/>
      <c r="N83" s="915"/>
      <c r="O83" s="915"/>
      <c r="P83" s="915"/>
      <c r="Q83" s="915"/>
      <c r="R83" s="915"/>
      <c r="S83" s="915"/>
      <c r="T83" s="915"/>
      <c r="U83" s="915"/>
      <c r="V83" s="915"/>
      <c r="W83" s="915"/>
      <c r="X83" s="915"/>
      <c r="Y83" s="916"/>
      <c r="Z83"/>
      <c r="AF83"/>
      <c r="AG83"/>
      <c r="AH83"/>
      <c r="AI83"/>
      <c r="AL83" s="89"/>
      <c r="AW83" s="90"/>
      <c r="AY83" s="69"/>
    </row>
    <row r="84" spans="1:52" x14ac:dyDescent="0.2">
      <c r="A84" s="914"/>
      <c r="B84" s="394" t="s">
        <v>637</v>
      </c>
      <c r="C84" s="906"/>
      <c r="D84" s="906"/>
      <c r="E84" s="906"/>
      <c r="F84" s="906"/>
      <c r="G84" s="906"/>
      <c r="H84" s="906"/>
      <c r="I84" s="906"/>
      <c r="J84" s="915">
        <f>J38</f>
        <v>71.165834772232131</v>
      </c>
      <c r="K84" s="915">
        <f t="shared" ref="K84:Y84" si="98">K38</f>
        <v>390.65902451534782</v>
      </c>
      <c r="L84" s="915">
        <f t="shared" si="98"/>
        <v>676.77394983104773</v>
      </c>
      <c r="M84" s="915">
        <f t="shared" si="98"/>
        <v>1145.6168009775779</v>
      </c>
      <c r="N84" s="915">
        <f t="shared" si="98"/>
        <v>1475.4926556377777</v>
      </c>
      <c r="O84" s="915">
        <f t="shared" si="98"/>
        <v>1785.3691777183569</v>
      </c>
      <c r="P84" s="915">
        <f t="shared" si="98"/>
        <v>2127.5685778731722</v>
      </c>
      <c r="Q84" s="915">
        <f t="shared" si="98"/>
        <v>2404.2916302238755</v>
      </c>
      <c r="R84" s="915">
        <f t="shared" si="98"/>
        <v>2700.7771310419894</v>
      </c>
      <c r="S84" s="915">
        <f t="shared" si="98"/>
        <v>2901.8369420449253</v>
      </c>
      <c r="T84" s="915">
        <f t="shared" si="98"/>
        <v>3065.8998060472859</v>
      </c>
      <c r="U84" s="915">
        <f t="shared" si="98"/>
        <v>3197.7617927063366</v>
      </c>
      <c r="V84" s="915">
        <f t="shared" si="98"/>
        <v>3292.5160637394056</v>
      </c>
      <c r="W84" s="915">
        <f t="shared" si="98"/>
        <v>3380.7278837289141</v>
      </c>
      <c r="X84" s="915">
        <f t="shared" si="98"/>
        <v>3462.3972526748612</v>
      </c>
      <c r="Y84" s="916">
        <f t="shared" si="98"/>
        <v>3537.5241705772492</v>
      </c>
      <c r="Z84"/>
      <c r="AF84"/>
      <c r="AG84"/>
      <c r="AH84"/>
      <c r="AI84"/>
      <c r="AL84" s="89"/>
      <c r="AW84" s="90"/>
      <c r="AY84" s="69"/>
    </row>
    <row r="85" spans="1:52" x14ac:dyDescent="0.2">
      <c r="A85" s="914"/>
      <c r="B85" s="394" t="s">
        <v>638</v>
      </c>
      <c r="C85" s="906"/>
      <c r="D85" s="906"/>
      <c r="E85" s="906"/>
      <c r="F85" s="906"/>
      <c r="G85" s="906"/>
      <c r="H85" s="906"/>
      <c r="I85" s="906"/>
      <c r="J85" s="915">
        <f>J38-J84</f>
        <v>0</v>
      </c>
      <c r="K85" s="915">
        <f t="shared" ref="K85:Y85" si="99">K38-K84</f>
        <v>0</v>
      </c>
      <c r="L85" s="915">
        <f t="shared" si="99"/>
        <v>0</v>
      </c>
      <c r="M85" s="915">
        <f t="shared" si="99"/>
        <v>0</v>
      </c>
      <c r="N85" s="915">
        <f t="shared" si="99"/>
        <v>0</v>
      </c>
      <c r="O85" s="915">
        <f t="shared" si="99"/>
        <v>0</v>
      </c>
      <c r="P85" s="915">
        <f t="shared" si="99"/>
        <v>0</v>
      </c>
      <c r="Q85" s="915">
        <f t="shared" si="99"/>
        <v>0</v>
      </c>
      <c r="R85" s="915">
        <f t="shared" si="99"/>
        <v>0</v>
      </c>
      <c r="S85" s="915">
        <f t="shared" si="99"/>
        <v>0</v>
      </c>
      <c r="T85" s="915">
        <f t="shared" si="99"/>
        <v>0</v>
      </c>
      <c r="U85" s="915">
        <f t="shared" si="99"/>
        <v>0</v>
      </c>
      <c r="V85" s="915">
        <f t="shared" si="99"/>
        <v>0</v>
      </c>
      <c r="W85" s="915">
        <f t="shared" si="99"/>
        <v>0</v>
      </c>
      <c r="X85" s="915">
        <f t="shared" si="99"/>
        <v>0</v>
      </c>
      <c r="Y85" s="916">
        <f t="shared" si="99"/>
        <v>0</v>
      </c>
      <c r="Z85"/>
      <c r="AF85"/>
      <c r="AG85"/>
      <c r="AH85"/>
      <c r="AI85"/>
      <c r="AL85" s="89"/>
      <c r="AW85" s="90"/>
      <c r="AY85" s="69"/>
    </row>
    <row r="86" spans="1:52" ht="15.75" x14ac:dyDescent="0.25">
      <c r="A86" s="926"/>
      <c r="B86" s="706"/>
      <c r="C86" s="706"/>
      <c r="D86" s="706"/>
      <c r="E86" s="706"/>
      <c r="F86" s="706"/>
      <c r="G86" s="706"/>
      <c r="H86" s="706"/>
      <c r="I86" s="706"/>
      <c r="J86" s="706"/>
      <c r="K86" s="706"/>
      <c r="L86" s="706"/>
      <c r="M86" s="706"/>
      <c r="N86" s="706"/>
      <c r="O86" s="706"/>
      <c r="P86" s="706"/>
      <c r="Q86" s="706"/>
      <c r="R86" s="706"/>
      <c r="S86" s="706"/>
      <c r="T86" s="706"/>
      <c r="U86" s="706"/>
      <c r="V86" s="706"/>
      <c r="W86" s="706"/>
      <c r="X86" s="706"/>
      <c r="Y86" s="927"/>
      <c r="Z86"/>
      <c r="AA86" s="5"/>
      <c r="AB86" s="5"/>
      <c r="AC86" s="5"/>
      <c r="AD86"/>
      <c r="AE86"/>
      <c r="AF86"/>
      <c r="AG86"/>
      <c r="AH86"/>
      <c r="AI86"/>
      <c r="AL86" s="89"/>
      <c r="AW86" s="90"/>
      <c r="AY86" s="69"/>
    </row>
    <row r="87" spans="1:52" x14ac:dyDescent="0.2">
      <c r="A87" s="284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 s="425"/>
      <c r="AE87"/>
      <c r="AF87"/>
      <c r="AG87"/>
      <c r="AH87"/>
      <c r="AI87"/>
      <c r="AL87" s="89"/>
      <c r="AW87" s="78"/>
    </row>
    <row r="88" spans="1:52" x14ac:dyDescent="0.2">
      <c r="A88" s="284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 s="425"/>
      <c r="AE88"/>
      <c r="AF88"/>
      <c r="AG88"/>
      <c r="AH88"/>
      <c r="AI88"/>
      <c r="AL88" s="89"/>
      <c r="AW88" s="78"/>
    </row>
    <row r="89" spans="1:52" x14ac:dyDescent="0.2">
      <c r="A89" s="284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 s="425"/>
      <c r="AE89"/>
      <c r="AF89"/>
      <c r="AG89"/>
      <c r="AH89"/>
      <c r="AI89"/>
      <c r="AL89" s="89"/>
      <c r="AU89" s="91"/>
      <c r="AW89" s="80"/>
    </row>
    <row r="90" spans="1:52" x14ac:dyDescent="0.2">
      <c r="A90" s="284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 s="425"/>
      <c r="AE90"/>
      <c r="AF90"/>
      <c r="AG90"/>
      <c r="AH90"/>
      <c r="AI90"/>
      <c r="AL90" s="89"/>
      <c r="AU90" s="91"/>
      <c r="AW90" s="80"/>
    </row>
    <row r="91" spans="1:52" x14ac:dyDescent="0.2">
      <c r="A91" s="284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 s="425"/>
      <c r="AE91"/>
      <c r="AF91"/>
      <c r="AG91"/>
      <c r="AH91"/>
      <c r="AI91"/>
      <c r="AL91" s="89"/>
      <c r="AU91" s="91"/>
      <c r="AW91" s="80"/>
    </row>
    <row r="92" spans="1:52" x14ac:dyDescent="0.2">
      <c r="A92" s="284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 s="425"/>
      <c r="AE92"/>
      <c r="AF92"/>
      <c r="AG92"/>
      <c r="AH92"/>
      <c r="AI92"/>
      <c r="AL92" s="89"/>
      <c r="AU92" s="91"/>
      <c r="AW92" s="80"/>
    </row>
    <row r="93" spans="1:52" x14ac:dyDescent="0.2">
      <c r="A93" s="284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 s="425"/>
      <c r="AE93"/>
      <c r="AF93"/>
      <c r="AG93"/>
      <c r="AH93"/>
      <c r="AI93"/>
      <c r="AL93" s="89"/>
      <c r="AU93" s="91"/>
      <c r="AW93" s="80"/>
    </row>
    <row r="94" spans="1:52" x14ac:dyDescent="0.2">
      <c r="A94" s="28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 s="425"/>
      <c r="AE94"/>
      <c r="AF94"/>
      <c r="AG94"/>
      <c r="AH94"/>
      <c r="AI94"/>
      <c r="AL94" s="89"/>
      <c r="AU94" s="91"/>
      <c r="AW94" s="80"/>
    </row>
    <row r="95" spans="1:52" ht="13.5" customHeight="1" x14ac:dyDescent="0.2">
      <c r="A95" s="284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 s="425"/>
      <c r="AE95"/>
      <c r="AF95"/>
      <c r="AG95"/>
      <c r="AH95"/>
      <c r="AI95"/>
      <c r="AL95" s="89"/>
      <c r="AX95" s="69"/>
      <c r="AY95" s="68"/>
      <c r="AZ95" s="68"/>
    </row>
    <row r="96" spans="1:52" x14ac:dyDescent="0.2">
      <c r="A96" s="284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 s="425"/>
      <c r="AE96"/>
      <c r="AF96"/>
      <c r="AG96"/>
      <c r="AH96"/>
      <c r="AI96"/>
      <c r="AL96" s="89"/>
      <c r="AX96" s="69"/>
      <c r="AY96" s="68"/>
      <c r="AZ96" s="68"/>
    </row>
    <row r="97" spans="1:52" x14ac:dyDescent="0.2">
      <c r="A97" s="284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 s="425"/>
      <c r="AE97"/>
      <c r="AF97"/>
      <c r="AG97"/>
      <c r="AH97"/>
      <c r="AI97"/>
      <c r="AL97" s="89"/>
      <c r="AX97" s="69"/>
      <c r="AY97" s="68"/>
      <c r="AZ97" s="68"/>
    </row>
    <row r="98" spans="1:52" x14ac:dyDescent="0.2">
      <c r="A98" s="284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 s="425"/>
      <c r="AE98"/>
      <c r="AF98"/>
      <c r="AG98"/>
      <c r="AH98"/>
      <c r="AI98"/>
      <c r="AL98" s="89"/>
      <c r="AX98" s="69"/>
      <c r="AY98" s="68"/>
      <c r="AZ98" s="68"/>
    </row>
    <row r="99" spans="1:52" x14ac:dyDescent="0.2">
      <c r="A99" s="284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 s="425"/>
      <c r="AE99"/>
      <c r="AF99"/>
      <c r="AG99"/>
      <c r="AH99"/>
      <c r="AI99"/>
      <c r="AL99" s="89"/>
      <c r="AX99" s="69"/>
      <c r="AY99" s="68"/>
      <c r="AZ99" s="68"/>
    </row>
    <row r="100" spans="1:52" x14ac:dyDescent="0.2">
      <c r="A100" s="284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 s="425"/>
      <c r="AE100"/>
      <c r="AF100"/>
      <c r="AG100"/>
      <c r="AH100"/>
      <c r="AI100"/>
      <c r="AL100" s="89"/>
      <c r="AX100" s="69"/>
      <c r="AY100" s="68"/>
      <c r="AZ100" s="68"/>
    </row>
    <row r="101" spans="1:52" x14ac:dyDescent="0.2">
      <c r="A101" s="284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 s="425"/>
      <c r="AE101"/>
      <c r="AF101"/>
      <c r="AG101"/>
      <c r="AH101"/>
      <c r="AI101"/>
      <c r="AL101" s="89"/>
      <c r="AX101" s="69"/>
      <c r="AY101" s="68"/>
      <c r="AZ101" s="68"/>
    </row>
    <row r="102" spans="1:52" x14ac:dyDescent="0.2">
      <c r="A102" s="284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 s="425"/>
      <c r="AE102"/>
      <c r="AF102"/>
      <c r="AG102"/>
      <c r="AH102"/>
      <c r="AI102"/>
      <c r="AL102" s="89"/>
      <c r="AX102" s="69"/>
      <c r="AY102" s="68"/>
      <c r="AZ102" s="68"/>
    </row>
    <row r="103" spans="1:52" x14ac:dyDescent="0.2">
      <c r="A103" s="284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 s="425"/>
      <c r="AE103"/>
      <c r="AF103"/>
      <c r="AG103"/>
      <c r="AH103"/>
      <c r="AI103"/>
      <c r="AL103" s="89"/>
      <c r="AX103" s="69"/>
      <c r="AY103" s="68"/>
      <c r="AZ103" s="68"/>
    </row>
    <row r="104" spans="1:52" x14ac:dyDescent="0.2">
      <c r="A104" s="28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 s="425"/>
      <c r="AE104"/>
      <c r="AF104"/>
      <c r="AG104"/>
      <c r="AH104"/>
      <c r="AI104"/>
      <c r="AL104" s="89"/>
      <c r="AX104" s="69"/>
      <c r="AY104" s="68"/>
      <c r="AZ104" s="68"/>
    </row>
    <row r="105" spans="1:52" x14ac:dyDescent="0.2">
      <c r="A105" s="284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 s="425"/>
      <c r="AE105"/>
      <c r="AF105"/>
      <c r="AG105"/>
      <c r="AH105"/>
      <c r="AI105"/>
      <c r="AL105" s="89"/>
      <c r="AX105" s="69"/>
      <c r="AY105" s="68"/>
      <c r="AZ105" s="68"/>
    </row>
    <row r="106" spans="1:52" x14ac:dyDescent="0.2">
      <c r="A106" s="284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 s="425"/>
      <c r="AE106"/>
      <c r="AF106"/>
      <c r="AG106"/>
      <c r="AH106"/>
      <c r="AI106"/>
      <c r="AL106" s="89"/>
      <c r="AX106" s="69"/>
      <c r="AY106" s="68"/>
      <c r="AZ106" s="68"/>
    </row>
    <row r="107" spans="1:52" x14ac:dyDescent="0.2">
      <c r="A107" s="284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 s="425"/>
      <c r="AE107"/>
      <c r="AF107"/>
      <c r="AG107"/>
      <c r="AH107"/>
      <c r="AI107"/>
      <c r="AL107" s="89"/>
      <c r="AX107" s="69"/>
      <c r="AY107" s="68"/>
      <c r="AZ107" s="68"/>
    </row>
    <row r="108" spans="1:52" x14ac:dyDescent="0.2">
      <c r="A108" s="284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 s="425"/>
      <c r="AE108"/>
      <c r="AF108"/>
      <c r="AG108"/>
      <c r="AH108"/>
      <c r="AI108"/>
      <c r="AL108" s="89"/>
      <c r="AX108" s="69"/>
      <c r="AY108" s="68"/>
      <c r="AZ108" s="68"/>
    </row>
    <row r="109" spans="1:52" x14ac:dyDescent="0.2">
      <c r="A109" s="284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 s="425"/>
      <c r="AE109"/>
      <c r="AF109"/>
      <c r="AG109"/>
      <c r="AH109"/>
      <c r="AI109"/>
      <c r="AL109" s="89"/>
      <c r="AX109" s="69"/>
      <c r="AY109" s="68"/>
      <c r="AZ109" s="68"/>
    </row>
    <row r="110" spans="1:52" x14ac:dyDescent="0.2">
      <c r="A110" s="284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 s="425"/>
      <c r="AE110"/>
      <c r="AF110"/>
      <c r="AG110"/>
      <c r="AH110"/>
      <c r="AI110"/>
      <c r="AL110" s="89"/>
      <c r="AX110" s="69"/>
      <c r="AY110" s="68"/>
      <c r="AZ110" s="68"/>
    </row>
    <row r="111" spans="1:52" x14ac:dyDescent="0.2">
      <c r="A111" s="284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 s="425"/>
      <c r="AE111"/>
      <c r="AF111"/>
      <c r="AG111"/>
      <c r="AH111"/>
      <c r="AI111"/>
      <c r="AL111" s="89"/>
      <c r="AX111" s="69"/>
      <c r="AY111" s="68"/>
      <c r="AZ111" s="68"/>
    </row>
    <row r="112" spans="1:52" x14ac:dyDescent="0.2">
      <c r="A112" s="284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 s="425"/>
      <c r="AE112"/>
      <c r="AF112"/>
      <c r="AG112"/>
      <c r="AH112"/>
      <c r="AI112"/>
      <c r="AL112" s="89"/>
      <c r="AX112" s="69"/>
      <c r="AY112" s="68"/>
      <c r="AZ112" s="68"/>
    </row>
    <row r="113" spans="1:52" x14ac:dyDescent="0.2">
      <c r="A113" s="284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 s="425"/>
      <c r="AE113"/>
      <c r="AF113"/>
      <c r="AG113"/>
      <c r="AH113"/>
      <c r="AI113"/>
      <c r="AL113" s="89"/>
      <c r="AX113" s="69"/>
      <c r="AY113" s="68"/>
      <c r="AZ113" s="68"/>
    </row>
    <row r="114" spans="1:52" x14ac:dyDescent="0.2">
      <c r="A114" s="28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 s="425"/>
      <c r="AE114"/>
      <c r="AF114"/>
      <c r="AG114"/>
      <c r="AH114"/>
      <c r="AI114"/>
      <c r="AL114" s="89"/>
      <c r="AX114" s="69"/>
      <c r="AY114" s="68"/>
      <c r="AZ114" s="68"/>
    </row>
    <row r="115" spans="1:52" x14ac:dyDescent="0.2">
      <c r="A115" s="284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 s="425"/>
      <c r="AE115"/>
      <c r="AF115"/>
      <c r="AG115"/>
      <c r="AH115"/>
      <c r="AI115"/>
      <c r="AL115" s="89"/>
      <c r="AX115" s="69"/>
      <c r="AY115" s="68"/>
      <c r="AZ115" s="68"/>
    </row>
    <row r="116" spans="1:52" x14ac:dyDescent="0.2">
      <c r="A116" s="284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 s="425"/>
      <c r="AE116"/>
      <c r="AF116"/>
      <c r="AG116"/>
      <c r="AH116"/>
      <c r="AI116"/>
      <c r="AL116" s="89"/>
      <c r="AX116" s="69"/>
      <c r="AY116" s="68"/>
      <c r="AZ116" s="68"/>
    </row>
    <row r="117" spans="1:52" x14ac:dyDescent="0.2">
      <c r="A117" s="284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 s="425"/>
      <c r="AE117"/>
      <c r="AF117"/>
      <c r="AG117"/>
      <c r="AH117"/>
      <c r="AI117"/>
      <c r="AL117" s="89"/>
      <c r="AX117" s="69"/>
      <c r="AY117" s="68"/>
      <c r="AZ117" s="68"/>
    </row>
    <row r="118" spans="1:52" x14ac:dyDescent="0.2">
      <c r="A118" s="284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 s="425"/>
      <c r="AE118"/>
      <c r="AF118"/>
      <c r="AG118"/>
      <c r="AH118"/>
      <c r="AI118"/>
      <c r="AL118" s="89"/>
      <c r="AX118" s="69"/>
      <c r="AY118" s="68"/>
      <c r="AZ118" s="68"/>
    </row>
    <row r="119" spans="1:52" x14ac:dyDescent="0.2">
      <c r="A119" s="284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 s="425"/>
      <c r="AE119"/>
      <c r="AF119"/>
      <c r="AG119"/>
      <c r="AH119"/>
      <c r="AI119"/>
      <c r="AL119" s="89"/>
      <c r="AX119" s="69"/>
      <c r="AY119" s="68"/>
      <c r="AZ119" s="68"/>
    </row>
    <row r="120" spans="1:52" x14ac:dyDescent="0.2">
      <c r="A120" s="284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 s="425"/>
      <c r="AE120"/>
      <c r="AF120"/>
      <c r="AG120"/>
      <c r="AH120"/>
      <c r="AI120"/>
      <c r="AL120" s="89"/>
      <c r="AX120" s="69"/>
      <c r="AY120" s="68"/>
      <c r="AZ120" s="68"/>
    </row>
    <row r="121" spans="1:52" x14ac:dyDescent="0.2">
      <c r="A121" s="284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 s="425"/>
      <c r="AE121"/>
      <c r="AF121"/>
      <c r="AG121"/>
      <c r="AH121"/>
      <c r="AI121"/>
      <c r="AL121" s="89"/>
      <c r="AX121" s="69"/>
      <c r="AY121" s="68"/>
      <c r="AZ121" s="68"/>
    </row>
    <row r="122" spans="1:52" x14ac:dyDescent="0.2">
      <c r="A122" s="284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 s="425"/>
      <c r="AE122"/>
      <c r="AF122"/>
      <c r="AG122"/>
      <c r="AH122"/>
      <c r="AI122"/>
      <c r="AL122" s="89"/>
      <c r="AX122" s="69"/>
      <c r="AY122" s="68"/>
      <c r="AZ122" s="68"/>
    </row>
    <row r="123" spans="1:52" x14ac:dyDescent="0.2">
      <c r="A123" s="284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 s="425"/>
      <c r="AE123"/>
      <c r="AF123"/>
      <c r="AG123"/>
      <c r="AH123"/>
      <c r="AI123"/>
      <c r="AL123" s="89"/>
      <c r="AX123" s="69"/>
      <c r="AY123" s="68"/>
      <c r="AZ123" s="68"/>
    </row>
    <row r="124" spans="1:52" x14ac:dyDescent="0.2">
      <c r="A124" s="28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 s="425"/>
      <c r="AE124"/>
      <c r="AF124"/>
      <c r="AG124"/>
      <c r="AH124"/>
      <c r="AI124"/>
      <c r="AL124" s="89"/>
      <c r="AW124" s="78"/>
      <c r="AY124" s="68"/>
      <c r="AZ124" s="68"/>
    </row>
    <row r="125" spans="1:52" x14ac:dyDescent="0.2">
      <c r="A125" s="284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 s="425"/>
      <c r="AE125"/>
      <c r="AF125"/>
      <c r="AG125"/>
      <c r="AH125"/>
      <c r="AI125"/>
      <c r="AL125" s="89"/>
      <c r="AW125" s="78"/>
      <c r="AY125" s="68"/>
      <c r="AZ125" s="68"/>
    </row>
    <row r="126" spans="1:52" x14ac:dyDescent="0.2">
      <c r="A126" s="284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 s="425"/>
      <c r="AE126"/>
      <c r="AF126"/>
      <c r="AG126"/>
      <c r="AH126"/>
      <c r="AI126"/>
      <c r="AL126" s="89"/>
      <c r="AW126" s="78"/>
      <c r="AY126" s="68"/>
      <c r="AZ126" s="68"/>
    </row>
    <row r="127" spans="1:52" x14ac:dyDescent="0.2">
      <c r="A127" s="284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 s="425"/>
      <c r="AE127"/>
      <c r="AF127"/>
      <c r="AG127"/>
      <c r="AH127"/>
      <c r="AI127"/>
      <c r="AL127" s="89"/>
      <c r="AW127" s="78"/>
      <c r="AY127" s="68"/>
      <c r="AZ127" s="68"/>
    </row>
    <row r="128" spans="1:52" x14ac:dyDescent="0.2">
      <c r="A128" s="284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 s="425"/>
      <c r="AE128"/>
      <c r="AF128"/>
      <c r="AG128"/>
      <c r="AH128"/>
      <c r="AI128"/>
      <c r="AL128" s="89"/>
      <c r="AW128" s="78"/>
      <c r="AY128" s="68"/>
      <c r="AZ128" s="68"/>
    </row>
    <row r="129" spans="1:52" x14ac:dyDescent="0.2">
      <c r="A129" s="284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 s="425"/>
      <c r="AE129"/>
      <c r="AF129"/>
      <c r="AG129"/>
      <c r="AH129"/>
      <c r="AI129"/>
      <c r="AL129" s="89"/>
      <c r="AW129" s="78"/>
      <c r="AY129" s="68"/>
      <c r="AZ129" s="68"/>
    </row>
    <row r="130" spans="1:52" ht="14.25" customHeight="1" x14ac:dyDescent="0.2">
      <c r="A130" s="284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 s="425"/>
      <c r="AE130"/>
      <c r="AF130"/>
      <c r="AG130"/>
      <c r="AH130"/>
      <c r="AI130"/>
      <c r="AL130" s="89"/>
      <c r="AW130" s="78"/>
      <c r="AY130" s="68"/>
      <c r="AZ130" s="68"/>
    </row>
    <row r="131" spans="1:52" ht="14.25" customHeight="1" x14ac:dyDescent="0.2">
      <c r="A131" s="284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 s="425"/>
      <c r="AE131"/>
      <c r="AF131"/>
      <c r="AG131"/>
      <c r="AH131"/>
      <c r="AI131"/>
      <c r="AL131" s="89"/>
      <c r="AW131" s="78"/>
      <c r="AY131" s="68"/>
      <c r="AZ131" s="68"/>
    </row>
    <row r="132" spans="1:52" ht="14.25" customHeight="1" x14ac:dyDescent="0.2">
      <c r="A132" s="284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 s="425"/>
      <c r="AE132"/>
      <c r="AF132"/>
      <c r="AG132"/>
      <c r="AH132"/>
      <c r="AI132"/>
      <c r="AL132" s="89"/>
      <c r="AW132" s="78"/>
      <c r="AY132" s="68"/>
      <c r="AZ132" s="68"/>
    </row>
    <row r="133" spans="1:52" ht="14.25" customHeight="1" x14ac:dyDescent="0.2">
      <c r="A133" s="284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 s="425"/>
      <c r="AE133"/>
      <c r="AF133"/>
      <c r="AG133"/>
      <c r="AH133"/>
      <c r="AI133"/>
      <c r="AL133" s="89"/>
      <c r="AW133" s="78"/>
      <c r="AY133" s="68"/>
      <c r="AZ133" s="68"/>
    </row>
    <row r="134" spans="1:52" ht="14.25" customHeight="1" x14ac:dyDescent="0.2">
      <c r="A134" s="28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 s="425"/>
      <c r="AE134"/>
      <c r="AF134"/>
      <c r="AG134"/>
      <c r="AH134"/>
      <c r="AI134"/>
      <c r="AL134" s="89"/>
      <c r="AW134" s="78"/>
      <c r="AY134" s="68"/>
      <c r="AZ134" s="68"/>
    </row>
    <row r="135" spans="1:52" ht="14.25" customHeight="1" x14ac:dyDescent="0.2">
      <c r="A135" s="284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 s="425"/>
      <c r="AE135"/>
      <c r="AF135"/>
      <c r="AG135"/>
      <c r="AH135"/>
      <c r="AI135"/>
      <c r="AL135" s="89"/>
      <c r="AW135" s="78"/>
      <c r="AY135" s="68"/>
      <c r="AZ135" s="68"/>
    </row>
    <row r="136" spans="1:52" ht="14.25" customHeight="1" x14ac:dyDescent="0.2">
      <c r="A136" s="284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 s="425"/>
      <c r="AE136"/>
      <c r="AF136"/>
      <c r="AG136"/>
      <c r="AH136"/>
      <c r="AI136"/>
      <c r="AL136" s="89"/>
      <c r="AW136" s="78"/>
      <c r="AY136" s="68"/>
      <c r="AZ136" s="68"/>
    </row>
    <row r="137" spans="1:52" ht="14.25" customHeight="1" x14ac:dyDescent="0.2">
      <c r="A137" s="284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 s="425"/>
      <c r="AE137"/>
      <c r="AF137"/>
      <c r="AG137"/>
      <c r="AH137"/>
      <c r="AI137"/>
      <c r="AL137" s="89"/>
      <c r="AW137" s="78"/>
      <c r="AY137" s="68"/>
      <c r="AZ137" s="68"/>
    </row>
    <row r="138" spans="1:52" ht="14.25" customHeight="1" x14ac:dyDescent="0.2">
      <c r="A138" s="284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 s="425"/>
      <c r="AE138"/>
      <c r="AF138"/>
      <c r="AG138"/>
      <c r="AH138"/>
      <c r="AI138"/>
      <c r="AL138" s="89"/>
      <c r="AW138" s="78"/>
      <c r="AY138" s="68"/>
      <c r="AZ138" s="68"/>
    </row>
    <row r="139" spans="1:52" ht="14.25" customHeight="1" x14ac:dyDescent="0.2">
      <c r="A139" s="284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 s="425"/>
      <c r="AE139"/>
      <c r="AF139"/>
      <c r="AG139"/>
      <c r="AH139"/>
      <c r="AI139"/>
      <c r="AL139" s="89"/>
      <c r="AW139" s="78"/>
      <c r="AY139" s="68"/>
      <c r="AZ139" s="68"/>
    </row>
    <row r="140" spans="1:52" ht="14.25" customHeight="1" x14ac:dyDescent="0.2">
      <c r="A140" s="284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 s="425"/>
      <c r="AE140"/>
      <c r="AF140"/>
      <c r="AG140"/>
      <c r="AH140"/>
      <c r="AI140"/>
      <c r="AL140" s="89"/>
      <c r="AW140" s="78"/>
      <c r="AY140" s="68"/>
      <c r="AZ140" s="68"/>
    </row>
    <row r="141" spans="1:52" ht="14.25" customHeight="1" x14ac:dyDescent="0.2">
      <c r="A141" s="284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 s="425"/>
      <c r="AE141"/>
      <c r="AF141"/>
      <c r="AG141"/>
      <c r="AH141"/>
      <c r="AI141"/>
      <c r="AL141" s="89"/>
      <c r="AW141" s="78"/>
      <c r="AY141" s="68"/>
      <c r="AZ141" s="68"/>
    </row>
    <row r="142" spans="1:52" ht="14.25" customHeight="1" x14ac:dyDescent="0.2">
      <c r="A142" s="284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 s="425"/>
      <c r="AE142"/>
      <c r="AF142"/>
      <c r="AG142"/>
      <c r="AH142"/>
      <c r="AI142"/>
      <c r="AL142" s="89"/>
      <c r="AW142" s="78"/>
      <c r="AY142" s="68"/>
      <c r="AZ142" s="68"/>
    </row>
    <row r="143" spans="1:52" ht="14.25" customHeight="1" x14ac:dyDescent="0.2">
      <c r="A143" s="284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 s="425"/>
      <c r="AE143"/>
      <c r="AF143"/>
      <c r="AG143"/>
      <c r="AH143"/>
      <c r="AI143"/>
      <c r="AL143" s="89"/>
      <c r="AW143" s="78"/>
      <c r="AY143" s="68"/>
      <c r="AZ143" s="68"/>
    </row>
    <row r="144" spans="1:52" ht="14.25" customHeight="1" x14ac:dyDescent="0.2">
      <c r="A144" s="28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 s="425"/>
      <c r="AE144"/>
      <c r="AF144"/>
      <c r="AG144"/>
      <c r="AH144"/>
      <c r="AI144"/>
      <c r="AL144" s="89"/>
      <c r="AW144" s="78"/>
      <c r="AY144" s="68"/>
      <c r="AZ144" s="68"/>
    </row>
    <row r="145" spans="1:52" ht="14.25" customHeight="1" x14ac:dyDescent="0.2">
      <c r="A145" s="284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 s="425"/>
      <c r="AE145"/>
      <c r="AF145"/>
      <c r="AG145"/>
      <c r="AH145"/>
      <c r="AI145"/>
      <c r="AL145" s="89"/>
      <c r="AW145" s="78"/>
      <c r="AY145" s="68"/>
      <c r="AZ145" s="68"/>
    </row>
    <row r="146" spans="1:52" ht="14.25" customHeight="1" x14ac:dyDescent="0.2">
      <c r="A146" s="284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 s="425"/>
      <c r="AE146"/>
      <c r="AF146"/>
      <c r="AG146"/>
      <c r="AH146"/>
      <c r="AI146"/>
      <c r="AL146" s="89"/>
      <c r="AW146" s="78"/>
      <c r="AY146" s="68"/>
      <c r="AZ146" s="68"/>
    </row>
    <row r="147" spans="1:52" ht="14.25" customHeight="1" x14ac:dyDescent="0.2">
      <c r="A147" s="284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 s="425"/>
      <c r="AE147"/>
      <c r="AF147"/>
      <c r="AG147"/>
      <c r="AH147"/>
      <c r="AI147"/>
      <c r="AL147" s="89"/>
      <c r="AW147" s="78"/>
      <c r="AY147" s="68"/>
      <c r="AZ147" s="68"/>
    </row>
    <row r="148" spans="1:52" ht="14.25" customHeight="1" x14ac:dyDescent="0.2">
      <c r="A148" s="284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 s="425"/>
      <c r="AE148"/>
      <c r="AF148"/>
      <c r="AG148"/>
      <c r="AH148"/>
      <c r="AI148"/>
      <c r="AL148" s="89"/>
      <c r="AW148" s="78"/>
      <c r="AY148" s="68"/>
      <c r="AZ148" s="68"/>
    </row>
    <row r="149" spans="1:52" ht="14.25" customHeight="1" x14ac:dyDescent="0.2">
      <c r="A149" s="284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 s="425"/>
      <c r="AE149"/>
      <c r="AF149"/>
      <c r="AG149"/>
      <c r="AH149"/>
      <c r="AI149"/>
      <c r="AL149" s="89"/>
      <c r="AW149" s="78"/>
      <c r="AY149" s="68"/>
      <c r="AZ149" s="68"/>
    </row>
    <row r="150" spans="1:52" ht="14.25" customHeight="1" x14ac:dyDescent="0.2">
      <c r="A150" s="284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 s="425"/>
      <c r="AE150"/>
      <c r="AF150"/>
      <c r="AG150"/>
      <c r="AH150"/>
      <c r="AI150"/>
      <c r="AL150" s="89"/>
      <c r="AW150" s="78"/>
      <c r="AY150" s="68"/>
      <c r="AZ150" s="68"/>
    </row>
    <row r="151" spans="1:52" ht="14.25" customHeight="1" x14ac:dyDescent="0.2">
      <c r="A151" s="284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 s="425"/>
      <c r="AE151"/>
      <c r="AF151"/>
      <c r="AG151"/>
      <c r="AH151"/>
      <c r="AI151"/>
      <c r="AL151" s="89"/>
      <c r="AW151" s="78"/>
      <c r="AY151" s="68"/>
      <c r="AZ151" s="68"/>
    </row>
    <row r="152" spans="1:52" ht="14.25" customHeight="1" x14ac:dyDescent="0.2">
      <c r="A152" s="284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 s="425"/>
      <c r="AE152"/>
      <c r="AF152"/>
      <c r="AG152"/>
      <c r="AH152"/>
      <c r="AI152"/>
      <c r="AL152" s="89"/>
      <c r="AW152" s="78"/>
      <c r="AY152" s="68"/>
      <c r="AZ152" s="68"/>
    </row>
    <row r="153" spans="1:52" ht="14.25" customHeight="1" x14ac:dyDescent="0.2">
      <c r="A153" s="284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 s="425"/>
      <c r="AE153"/>
      <c r="AF153"/>
      <c r="AG153"/>
      <c r="AH153"/>
      <c r="AI153"/>
      <c r="AL153" s="89"/>
      <c r="AW153" s="78"/>
      <c r="AY153" s="68"/>
      <c r="AZ153" s="68"/>
    </row>
    <row r="154" spans="1:52" ht="14.25" customHeight="1" x14ac:dyDescent="0.2">
      <c r="A154" s="28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 s="425"/>
      <c r="AE154"/>
      <c r="AF154"/>
      <c r="AG154"/>
      <c r="AH154"/>
      <c r="AI154"/>
      <c r="AL154" s="89"/>
      <c r="AW154" s="78"/>
      <c r="AY154" s="68"/>
      <c r="AZ154" s="68"/>
    </row>
    <row r="155" spans="1:52" ht="14.25" customHeight="1" x14ac:dyDescent="0.2">
      <c r="A155" s="284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 s="425"/>
      <c r="AE155"/>
      <c r="AF155"/>
      <c r="AG155"/>
      <c r="AH155"/>
      <c r="AI155"/>
      <c r="AL155" s="89"/>
      <c r="AW155" s="78"/>
      <c r="AY155" s="68"/>
      <c r="AZ155" s="68"/>
    </row>
    <row r="156" spans="1:52" ht="14.25" customHeight="1" x14ac:dyDescent="0.2">
      <c r="A156" s="284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 s="425"/>
      <c r="AE156"/>
      <c r="AF156"/>
      <c r="AG156"/>
      <c r="AH156"/>
      <c r="AI156"/>
      <c r="AL156" s="89"/>
      <c r="AW156" s="78"/>
      <c r="AY156" s="68"/>
      <c r="AZ156" s="68"/>
    </row>
    <row r="157" spans="1:52" ht="14.25" customHeight="1" x14ac:dyDescent="0.2">
      <c r="A157" s="284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 s="425"/>
      <c r="AE157"/>
      <c r="AF157"/>
      <c r="AG157"/>
      <c r="AH157"/>
      <c r="AI157"/>
      <c r="AL157" s="89"/>
      <c r="AW157" s="78"/>
      <c r="AY157" s="68"/>
      <c r="AZ157" s="68"/>
    </row>
    <row r="158" spans="1:52" ht="14.25" customHeight="1" x14ac:dyDescent="0.2">
      <c r="A158" s="284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 s="425"/>
      <c r="AE158"/>
      <c r="AF158"/>
      <c r="AG158"/>
      <c r="AH158"/>
      <c r="AI158"/>
      <c r="AL158" s="89"/>
      <c r="AW158" s="78"/>
      <c r="AY158" s="68"/>
      <c r="AZ158" s="68"/>
    </row>
    <row r="159" spans="1:52" ht="14.25" customHeight="1" x14ac:dyDescent="0.2">
      <c r="A159" s="284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 s="425"/>
      <c r="AE159"/>
      <c r="AF159"/>
      <c r="AG159"/>
      <c r="AH159"/>
      <c r="AI159"/>
      <c r="AL159" s="89"/>
      <c r="AW159" s="78"/>
      <c r="AY159" s="68"/>
      <c r="AZ159" s="68"/>
    </row>
    <row r="160" spans="1:52" ht="14.25" customHeight="1" x14ac:dyDescent="0.2">
      <c r="A160" s="284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 s="425"/>
      <c r="AE160"/>
      <c r="AF160"/>
      <c r="AG160"/>
      <c r="AH160"/>
      <c r="AI160"/>
      <c r="AL160" s="89"/>
      <c r="AW160" s="78"/>
      <c r="AY160" s="68"/>
      <c r="AZ160" s="68"/>
    </row>
    <row r="161" spans="1:52" ht="14.25" customHeight="1" x14ac:dyDescent="0.2">
      <c r="A161" s="284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 s="425"/>
      <c r="AE161"/>
      <c r="AF161"/>
      <c r="AG161"/>
      <c r="AH161"/>
      <c r="AI161"/>
      <c r="AL161" s="89"/>
      <c r="AW161" s="78"/>
      <c r="AY161" s="68"/>
      <c r="AZ161" s="68"/>
    </row>
    <row r="162" spans="1:52" ht="14.25" customHeight="1" x14ac:dyDescent="0.2">
      <c r="A162" s="284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 s="425"/>
      <c r="AE162"/>
      <c r="AF162"/>
      <c r="AG162"/>
      <c r="AH162"/>
      <c r="AI162"/>
      <c r="AL162" s="89"/>
      <c r="AW162" s="78"/>
      <c r="AY162" s="68"/>
      <c r="AZ162" s="68"/>
    </row>
    <row r="163" spans="1:52" ht="14.25" customHeight="1" x14ac:dyDescent="0.2">
      <c r="A163" s="284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 s="425"/>
      <c r="AE163"/>
      <c r="AF163"/>
      <c r="AG163"/>
      <c r="AH163"/>
      <c r="AI163"/>
      <c r="AL163" s="89"/>
      <c r="AW163" s="78"/>
      <c r="AY163" s="68"/>
      <c r="AZ163" s="68"/>
    </row>
    <row r="164" spans="1:52" ht="14.25" customHeight="1" x14ac:dyDescent="0.2">
      <c r="A164" s="28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 s="425"/>
      <c r="AE164"/>
      <c r="AF164"/>
      <c r="AG164"/>
      <c r="AH164"/>
      <c r="AI164"/>
      <c r="AL164" s="89"/>
      <c r="AW164" s="78"/>
      <c r="AY164" s="68"/>
      <c r="AZ164" s="68"/>
    </row>
    <row r="165" spans="1:52" ht="14.25" customHeight="1" x14ac:dyDescent="0.2">
      <c r="A165" s="284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 s="425"/>
      <c r="AE165"/>
      <c r="AF165"/>
      <c r="AG165"/>
      <c r="AH165"/>
      <c r="AI165"/>
      <c r="AL165" s="89"/>
      <c r="AW165" s="78"/>
      <c r="AY165" s="68"/>
      <c r="AZ165" s="68"/>
    </row>
    <row r="166" spans="1:52" ht="14.25" customHeight="1" x14ac:dyDescent="0.2">
      <c r="A166" s="284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 s="425"/>
      <c r="AE166"/>
      <c r="AF166"/>
      <c r="AG166"/>
      <c r="AH166"/>
      <c r="AI166"/>
      <c r="AL166" s="89"/>
      <c r="AW166" s="78"/>
      <c r="AY166" s="68"/>
      <c r="AZ166" s="68"/>
    </row>
    <row r="167" spans="1:52" ht="14.25" customHeight="1" x14ac:dyDescent="0.2">
      <c r="A167" s="284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 s="425"/>
      <c r="AE167"/>
      <c r="AF167"/>
      <c r="AG167"/>
      <c r="AH167"/>
      <c r="AI167"/>
      <c r="AL167" s="89"/>
      <c r="AW167" s="78"/>
      <c r="AY167" s="68"/>
      <c r="AZ167" s="68"/>
    </row>
    <row r="168" spans="1:52" ht="14.25" customHeight="1" x14ac:dyDescent="0.2">
      <c r="A168" s="284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 s="425"/>
      <c r="AE168"/>
      <c r="AF168"/>
      <c r="AG168"/>
      <c r="AH168"/>
      <c r="AI168"/>
      <c r="AL168" s="89"/>
      <c r="AW168" s="78"/>
      <c r="AY168" s="68"/>
      <c r="AZ168" s="68"/>
    </row>
    <row r="169" spans="1:52" ht="14.25" customHeight="1" x14ac:dyDescent="0.2">
      <c r="A169" s="284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 s="425"/>
      <c r="AE169"/>
      <c r="AF169"/>
      <c r="AG169"/>
      <c r="AH169"/>
      <c r="AI169"/>
      <c r="AL169" s="89"/>
      <c r="AW169" s="78"/>
      <c r="AY169" s="68"/>
      <c r="AZ169" s="68"/>
    </row>
    <row r="170" spans="1:52" ht="14.25" customHeight="1" x14ac:dyDescent="0.2">
      <c r="A170" s="284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 s="425"/>
      <c r="AE170"/>
      <c r="AF170"/>
      <c r="AG170"/>
      <c r="AH170"/>
      <c r="AI170"/>
      <c r="AL170" s="89"/>
      <c r="AW170" s="78"/>
      <c r="AY170" s="68"/>
      <c r="AZ170" s="68"/>
    </row>
    <row r="171" spans="1:52" ht="14.25" customHeight="1" x14ac:dyDescent="0.2">
      <c r="A171" s="284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 s="425"/>
      <c r="AE171"/>
      <c r="AF171"/>
      <c r="AG171"/>
      <c r="AH171"/>
      <c r="AI171"/>
      <c r="AL171" s="89"/>
      <c r="AW171" s="78"/>
      <c r="AY171" s="68"/>
      <c r="AZ171" s="68"/>
    </row>
    <row r="172" spans="1:52" ht="14.25" customHeight="1" x14ac:dyDescent="0.2">
      <c r="A172" s="284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 s="425"/>
      <c r="AE172"/>
      <c r="AF172"/>
      <c r="AG172"/>
      <c r="AH172"/>
      <c r="AI172"/>
      <c r="AL172" s="89"/>
      <c r="AW172" s="78"/>
      <c r="AY172" s="68"/>
      <c r="AZ172" s="68"/>
    </row>
    <row r="173" spans="1:52" ht="14.25" customHeight="1" x14ac:dyDescent="0.2">
      <c r="A173" s="284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 s="425"/>
      <c r="AE173"/>
      <c r="AF173"/>
      <c r="AG173"/>
      <c r="AH173"/>
      <c r="AI173"/>
      <c r="AL173" s="89"/>
      <c r="AW173" s="78"/>
      <c r="AY173" s="68"/>
      <c r="AZ173" s="68"/>
    </row>
    <row r="174" spans="1:52" ht="14.25" customHeight="1" x14ac:dyDescent="0.2">
      <c r="A174" s="28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 s="425"/>
      <c r="AE174"/>
      <c r="AF174"/>
      <c r="AG174"/>
      <c r="AH174"/>
      <c r="AI174"/>
      <c r="AL174" s="89"/>
      <c r="AW174" s="78"/>
      <c r="AY174" s="68"/>
      <c r="AZ174" s="68"/>
    </row>
    <row r="175" spans="1:52" ht="14.25" customHeight="1" x14ac:dyDescent="0.2">
      <c r="A175" s="284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 s="425"/>
      <c r="AE175"/>
      <c r="AF175"/>
      <c r="AG175"/>
      <c r="AH175"/>
      <c r="AI175"/>
      <c r="AL175" s="89"/>
      <c r="AW175" s="78"/>
      <c r="AY175" s="68"/>
      <c r="AZ175" s="68"/>
    </row>
    <row r="176" spans="1:52" ht="14.25" customHeight="1" x14ac:dyDescent="0.2">
      <c r="A176" s="284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 s="425"/>
      <c r="AE176"/>
      <c r="AF176"/>
      <c r="AG176"/>
      <c r="AH176"/>
      <c r="AI176"/>
      <c r="AL176" s="89"/>
      <c r="AW176" s="78"/>
      <c r="AY176" s="68"/>
      <c r="AZ176" s="68"/>
    </row>
    <row r="177" spans="1:52" ht="14.25" customHeight="1" x14ac:dyDescent="0.2">
      <c r="A177" s="284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 s="425"/>
      <c r="AE177"/>
      <c r="AF177"/>
      <c r="AG177"/>
      <c r="AH177"/>
      <c r="AI177"/>
      <c r="AL177" s="89"/>
      <c r="AW177" s="78"/>
      <c r="AY177" s="68"/>
      <c r="AZ177" s="68"/>
    </row>
    <row r="178" spans="1:52" ht="14.25" customHeight="1" x14ac:dyDescent="0.2">
      <c r="A178" s="284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 s="425"/>
      <c r="AE178"/>
      <c r="AF178"/>
      <c r="AG178"/>
      <c r="AH178"/>
      <c r="AI178"/>
      <c r="AL178" s="89"/>
      <c r="AW178" s="78"/>
      <c r="AY178" s="68"/>
      <c r="AZ178" s="68"/>
    </row>
    <row r="179" spans="1:52" ht="14.25" customHeight="1" x14ac:dyDescent="0.2">
      <c r="A179" s="284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 s="425"/>
      <c r="AE179"/>
      <c r="AF179"/>
      <c r="AG179"/>
      <c r="AH179"/>
      <c r="AI179"/>
      <c r="AL179" s="89"/>
      <c r="AW179" s="78"/>
      <c r="AY179" s="68"/>
      <c r="AZ179" s="68"/>
    </row>
    <row r="180" spans="1:52" ht="14.25" customHeight="1" x14ac:dyDescent="0.2">
      <c r="A180" s="284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 s="425"/>
      <c r="AE180"/>
      <c r="AF180"/>
      <c r="AG180"/>
      <c r="AH180"/>
      <c r="AI180"/>
      <c r="AL180" s="89"/>
      <c r="AW180" s="78"/>
      <c r="AY180" s="68"/>
      <c r="AZ180" s="68"/>
    </row>
    <row r="181" spans="1:52" ht="14.25" customHeight="1" x14ac:dyDescent="0.2">
      <c r="A181" s="284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 s="425"/>
      <c r="AE181"/>
      <c r="AF181"/>
      <c r="AG181"/>
      <c r="AH181"/>
      <c r="AI181"/>
      <c r="AL181" s="89"/>
      <c r="AW181" s="78"/>
      <c r="AY181" s="68"/>
      <c r="AZ181" s="68"/>
    </row>
    <row r="182" spans="1:52" ht="14.25" customHeight="1" x14ac:dyDescent="0.2">
      <c r="A182" s="284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 s="425"/>
      <c r="AE182"/>
      <c r="AF182"/>
      <c r="AG182"/>
      <c r="AH182"/>
      <c r="AI182"/>
      <c r="AL182" s="89"/>
      <c r="AW182" s="78"/>
      <c r="AY182" s="68"/>
      <c r="AZ182" s="68"/>
    </row>
    <row r="183" spans="1:52" ht="14.25" customHeight="1" x14ac:dyDescent="0.2">
      <c r="A183" s="284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 s="425"/>
      <c r="AE183"/>
      <c r="AF183"/>
      <c r="AG183"/>
      <c r="AH183"/>
      <c r="AI183"/>
      <c r="AL183" s="89"/>
      <c r="AW183" s="78"/>
      <c r="AY183" s="68"/>
      <c r="AZ183" s="68"/>
    </row>
    <row r="184" spans="1:52" ht="14.25" customHeight="1" x14ac:dyDescent="0.2">
      <c r="A184" s="2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 s="425"/>
      <c r="AE184"/>
      <c r="AF184"/>
      <c r="AG184"/>
      <c r="AH184"/>
      <c r="AI184"/>
      <c r="AL184" s="89"/>
      <c r="AW184" s="78"/>
      <c r="AY184" s="68"/>
      <c r="AZ184" s="68"/>
    </row>
    <row r="185" spans="1:52" ht="14.25" customHeight="1" x14ac:dyDescent="0.2">
      <c r="A185" s="284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 s="425"/>
      <c r="AE185"/>
      <c r="AF185"/>
      <c r="AG185"/>
      <c r="AH185"/>
      <c r="AI185"/>
      <c r="AL185" s="89"/>
      <c r="AW185" s="78"/>
      <c r="AY185" s="68"/>
      <c r="AZ185" s="68"/>
    </row>
    <row r="186" spans="1:52" ht="14.25" customHeight="1" x14ac:dyDescent="0.2">
      <c r="A186" s="284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 s="425"/>
      <c r="AE186"/>
      <c r="AF186"/>
      <c r="AG186"/>
      <c r="AH186"/>
      <c r="AI186"/>
      <c r="AL186" s="89"/>
      <c r="AW186" s="78"/>
      <c r="AY186" s="68"/>
      <c r="AZ186" s="68"/>
    </row>
    <row r="187" spans="1:52" ht="14.25" customHeight="1" x14ac:dyDescent="0.2">
      <c r="A187" s="284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 s="425"/>
      <c r="AE187"/>
      <c r="AF187"/>
      <c r="AG187"/>
      <c r="AH187"/>
      <c r="AI187"/>
      <c r="AL187" s="89"/>
      <c r="AW187" s="78"/>
      <c r="AY187" s="68"/>
      <c r="AZ187" s="68"/>
    </row>
    <row r="188" spans="1:52" ht="14.25" customHeight="1" x14ac:dyDescent="0.2">
      <c r="A188" s="284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 s="425"/>
      <c r="AE188"/>
      <c r="AF188"/>
      <c r="AG188"/>
      <c r="AH188"/>
      <c r="AI188"/>
      <c r="AL188" s="89"/>
      <c r="AW188" s="78"/>
      <c r="AY188" s="68"/>
      <c r="AZ188" s="68"/>
    </row>
    <row r="189" spans="1:52" ht="14.25" customHeight="1" x14ac:dyDescent="0.2">
      <c r="A189" s="284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 s="425"/>
      <c r="AE189"/>
      <c r="AF189"/>
      <c r="AG189"/>
      <c r="AH189"/>
      <c r="AI189"/>
      <c r="AL189" s="89"/>
      <c r="AW189" s="78"/>
      <c r="AY189" s="68"/>
      <c r="AZ189" s="68"/>
    </row>
    <row r="190" spans="1:52" ht="14.25" customHeight="1" x14ac:dyDescent="0.2">
      <c r="A190" s="284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 s="425"/>
      <c r="AE190"/>
      <c r="AF190"/>
      <c r="AG190"/>
      <c r="AH190"/>
      <c r="AI190"/>
      <c r="AL190" s="89"/>
      <c r="AW190" s="78"/>
      <c r="AY190" s="68"/>
      <c r="AZ190" s="68"/>
    </row>
    <row r="191" spans="1:52" ht="14.25" customHeight="1" x14ac:dyDescent="0.2">
      <c r="A191" s="284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 s="425"/>
      <c r="AE191"/>
      <c r="AF191"/>
      <c r="AG191"/>
      <c r="AH191"/>
      <c r="AI191"/>
      <c r="AL191" s="89"/>
      <c r="AW191" s="78"/>
      <c r="AY191" s="68"/>
      <c r="AZ191" s="68"/>
    </row>
    <row r="192" spans="1:52" ht="14.25" customHeight="1" x14ac:dyDescent="0.2">
      <c r="A192" s="284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 s="425"/>
      <c r="AE192"/>
      <c r="AF192"/>
      <c r="AG192"/>
      <c r="AH192"/>
      <c r="AI192"/>
      <c r="AL192" s="89"/>
      <c r="AW192" s="78"/>
      <c r="AY192" s="68"/>
      <c r="AZ192" s="68"/>
    </row>
    <row r="193" spans="1:52" ht="14.25" customHeight="1" x14ac:dyDescent="0.2">
      <c r="A193" s="284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 s="425"/>
      <c r="AE193"/>
      <c r="AF193"/>
      <c r="AG193"/>
      <c r="AH193"/>
      <c r="AI193"/>
      <c r="AL193" s="89"/>
      <c r="AW193" s="78"/>
      <c r="AY193" s="68"/>
      <c r="AZ193" s="68"/>
    </row>
    <row r="194" spans="1:52" ht="14.25" customHeight="1" x14ac:dyDescent="0.2">
      <c r="A194" s="28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 s="425"/>
      <c r="AE194"/>
      <c r="AF194"/>
      <c r="AG194"/>
      <c r="AH194"/>
      <c r="AI194"/>
      <c r="AL194" s="89"/>
      <c r="AW194" s="78"/>
      <c r="AY194" s="68"/>
      <c r="AZ194" s="68"/>
    </row>
    <row r="195" spans="1:52" ht="14.25" customHeight="1" x14ac:dyDescent="0.2">
      <c r="A195" s="284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 s="425"/>
      <c r="AE195"/>
      <c r="AF195"/>
      <c r="AG195"/>
      <c r="AH195"/>
      <c r="AI195"/>
      <c r="AL195" s="89"/>
      <c r="AW195" s="78"/>
      <c r="AY195" s="68"/>
      <c r="AZ195" s="68"/>
    </row>
    <row r="196" spans="1:52" ht="14.25" customHeight="1" x14ac:dyDescent="0.2">
      <c r="A196" s="284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 s="425"/>
      <c r="AE196"/>
      <c r="AF196"/>
      <c r="AG196"/>
      <c r="AH196"/>
      <c r="AI196"/>
      <c r="AL196" s="89"/>
      <c r="AW196" s="78"/>
      <c r="AY196" s="68"/>
      <c r="AZ196" s="68"/>
    </row>
    <row r="197" spans="1:52" ht="14.25" customHeight="1" x14ac:dyDescent="0.2">
      <c r="A197" s="284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 s="425"/>
      <c r="AE197"/>
      <c r="AF197"/>
      <c r="AG197"/>
      <c r="AH197"/>
      <c r="AI197"/>
      <c r="AL197" s="89"/>
      <c r="AW197" s="78"/>
      <c r="AY197" s="68"/>
      <c r="AZ197" s="68"/>
    </row>
    <row r="198" spans="1:52" ht="14.25" customHeight="1" x14ac:dyDescent="0.2">
      <c r="A198" s="284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 s="425"/>
      <c r="AE198"/>
      <c r="AF198"/>
      <c r="AG198"/>
      <c r="AH198"/>
      <c r="AI198"/>
      <c r="AL198" s="89"/>
      <c r="AW198" s="78"/>
      <c r="AY198" s="68"/>
      <c r="AZ198" s="68"/>
    </row>
    <row r="199" spans="1:52" x14ac:dyDescent="0.2">
      <c r="A199" s="284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 s="425"/>
      <c r="AE199"/>
      <c r="AF199"/>
      <c r="AG199"/>
      <c r="AH199"/>
      <c r="AI199"/>
      <c r="AL199" s="89"/>
    </row>
    <row r="200" spans="1:52" x14ac:dyDescent="0.2">
      <c r="A200" s="284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 s="425"/>
      <c r="AE200"/>
      <c r="AF200"/>
      <c r="AG200"/>
      <c r="AH200"/>
      <c r="AI200"/>
      <c r="AL200" s="89"/>
    </row>
    <row r="201" spans="1:52" x14ac:dyDescent="0.2">
      <c r="A201" s="284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 s="425"/>
      <c r="AE201"/>
      <c r="AF201"/>
      <c r="AG201"/>
      <c r="AH201"/>
      <c r="AI201"/>
      <c r="AL201" s="89"/>
    </row>
    <row r="202" spans="1:52" x14ac:dyDescent="0.2">
      <c r="A202" s="284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 s="425"/>
      <c r="AE202"/>
      <c r="AF202"/>
      <c r="AG202"/>
      <c r="AH202"/>
      <c r="AI202"/>
      <c r="AL202" s="89"/>
    </row>
    <row r="203" spans="1:52" x14ac:dyDescent="0.2">
      <c r="A203" s="284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 s="425"/>
      <c r="AE203"/>
      <c r="AF203"/>
      <c r="AG203"/>
      <c r="AH203"/>
      <c r="AI203"/>
      <c r="AL203" s="89"/>
    </row>
    <row r="204" spans="1:52" x14ac:dyDescent="0.2">
      <c r="A204" s="28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 s="425"/>
      <c r="AE204"/>
      <c r="AF204"/>
      <c r="AG204"/>
      <c r="AH204"/>
      <c r="AI204"/>
      <c r="AL204" s="89"/>
    </row>
    <row r="205" spans="1:52" x14ac:dyDescent="0.2">
      <c r="A205" s="284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 s="425"/>
      <c r="AE205"/>
      <c r="AF205"/>
      <c r="AG205"/>
      <c r="AH205"/>
      <c r="AI205"/>
      <c r="AL205" s="89"/>
    </row>
    <row r="206" spans="1:52" x14ac:dyDescent="0.2">
      <c r="A206" s="284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 s="425"/>
      <c r="AE206"/>
      <c r="AF206"/>
      <c r="AG206"/>
      <c r="AH206"/>
      <c r="AI206"/>
      <c r="AL206" s="89"/>
    </row>
    <row r="207" spans="1:52" x14ac:dyDescent="0.2">
      <c r="A207" s="284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 s="425"/>
      <c r="AE207"/>
      <c r="AF207"/>
      <c r="AG207"/>
      <c r="AH207"/>
      <c r="AI207"/>
      <c r="AL207" s="89"/>
    </row>
    <row r="208" spans="1:52" x14ac:dyDescent="0.2">
      <c r="A208" s="284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 s="425"/>
      <c r="AE208"/>
      <c r="AF208"/>
      <c r="AG208"/>
      <c r="AH208"/>
      <c r="AI208"/>
      <c r="AL208" s="89"/>
    </row>
    <row r="209" spans="1:38" x14ac:dyDescent="0.2">
      <c r="A209" s="284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 s="425"/>
      <c r="AE209"/>
      <c r="AF209"/>
      <c r="AG209"/>
      <c r="AH209"/>
      <c r="AI209"/>
      <c r="AL209" s="89"/>
    </row>
    <row r="210" spans="1:38" x14ac:dyDescent="0.2">
      <c r="A210" s="284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 s="425"/>
      <c r="AE210"/>
      <c r="AF210"/>
      <c r="AG210"/>
      <c r="AH210"/>
      <c r="AI210"/>
      <c r="AL210" s="89"/>
    </row>
    <row r="211" spans="1:38" x14ac:dyDescent="0.2">
      <c r="A211" s="284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 s="425"/>
      <c r="AE211"/>
      <c r="AF211"/>
      <c r="AG211"/>
      <c r="AH211"/>
      <c r="AI211"/>
      <c r="AL211" s="89"/>
    </row>
    <row r="212" spans="1:38" x14ac:dyDescent="0.2">
      <c r="A212" s="284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 s="425"/>
      <c r="AE212"/>
      <c r="AF212"/>
      <c r="AG212"/>
      <c r="AH212"/>
      <c r="AI212"/>
      <c r="AL212" s="89"/>
    </row>
    <row r="213" spans="1:38" x14ac:dyDescent="0.2">
      <c r="A213" s="284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 s="425"/>
      <c r="AE213"/>
      <c r="AF213"/>
      <c r="AG213"/>
      <c r="AH213"/>
      <c r="AI213"/>
      <c r="AL213" s="89"/>
    </row>
    <row r="214" spans="1:38" x14ac:dyDescent="0.2">
      <c r="A214" s="28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 s="425"/>
      <c r="AE214"/>
      <c r="AF214"/>
      <c r="AG214"/>
      <c r="AH214"/>
      <c r="AI214"/>
      <c r="AL214" s="89"/>
    </row>
    <row r="215" spans="1:38" x14ac:dyDescent="0.2">
      <c r="A215" s="284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 s="425"/>
      <c r="AE215"/>
      <c r="AF215"/>
      <c r="AG215"/>
      <c r="AH215"/>
      <c r="AI215"/>
      <c r="AL215" s="89"/>
    </row>
    <row r="216" spans="1:38" x14ac:dyDescent="0.2">
      <c r="A216" s="284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 s="425"/>
      <c r="AE216"/>
      <c r="AF216"/>
      <c r="AG216"/>
      <c r="AH216"/>
      <c r="AI216"/>
      <c r="AL216" s="89"/>
    </row>
    <row r="217" spans="1:38" x14ac:dyDescent="0.2">
      <c r="A217" s="284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 s="425"/>
      <c r="AE217"/>
      <c r="AF217"/>
      <c r="AG217"/>
      <c r="AH217"/>
      <c r="AI217"/>
      <c r="AL217" s="89"/>
    </row>
    <row r="218" spans="1:38" x14ac:dyDescent="0.2">
      <c r="A218" s="284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 s="425"/>
      <c r="AE218"/>
      <c r="AF218"/>
      <c r="AG218"/>
      <c r="AH218"/>
      <c r="AI218"/>
      <c r="AL218" s="89"/>
    </row>
    <row r="219" spans="1:38" x14ac:dyDescent="0.2">
      <c r="A219" s="284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 s="425"/>
      <c r="AE219"/>
      <c r="AF219"/>
      <c r="AG219"/>
      <c r="AH219"/>
      <c r="AI219"/>
      <c r="AL219" s="89"/>
    </row>
    <row r="220" spans="1:38" x14ac:dyDescent="0.2">
      <c r="A220" s="284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 s="425"/>
      <c r="AE220"/>
      <c r="AF220"/>
      <c r="AG220"/>
      <c r="AH220"/>
      <c r="AI220"/>
      <c r="AL220" s="89"/>
    </row>
    <row r="221" spans="1:38" x14ac:dyDescent="0.2">
      <c r="A221" s="284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 s="425"/>
      <c r="AE221"/>
      <c r="AF221"/>
      <c r="AG221"/>
      <c r="AH221"/>
      <c r="AI221"/>
      <c r="AL221" s="89"/>
    </row>
    <row r="222" spans="1:38" x14ac:dyDescent="0.2">
      <c r="A222" s="284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 s="425"/>
      <c r="AE222"/>
      <c r="AF222"/>
      <c r="AG222"/>
      <c r="AH222"/>
      <c r="AI222"/>
      <c r="AL222" s="89"/>
    </row>
    <row r="223" spans="1:38" x14ac:dyDescent="0.2">
      <c r="A223" s="284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 s="425"/>
      <c r="AE223"/>
      <c r="AF223"/>
      <c r="AG223"/>
      <c r="AH223"/>
      <c r="AI223"/>
      <c r="AL223" s="89"/>
    </row>
    <row r="224" spans="1:38" x14ac:dyDescent="0.2">
      <c r="A224" s="28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 s="425"/>
      <c r="AE224"/>
      <c r="AF224"/>
      <c r="AG224"/>
      <c r="AH224"/>
      <c r="AI224"/>
      <c r="AL224" s="89"/>
    </row>
    <row r="225" spans="1:38" x14ac:dyDescent="0.2">
      <c r="A225" s="284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 s="425"/>
      <c r="AE225"/>
      <c r="AF225"/>
      <c r="AG225"/>
      <c r="AH225"/>
      <c r="AI225"/>
      <c r="AL225" s="89"/>
    </row>
  </sheetData>
  <mergeCells count="4">
    <mergeCell ref="D38:F38"/>
    <mergeCell ref="C46:H46"/>
    <mergeCell ref="AC47:AE47"/>
    <mergeCell ref="AC51:AE51"/>
  </mergeCells>
  <phoneticPr fontId="0" type="noConversion"/>
  <printOptions gridLines="1"/>
  <pageMargins left="0.49" right="0.41" top="0.62" bottom="0.75" header="0.5" footer="0.5"/>
  <pageSetup paperSize="9" scale="54" orientation="landscape" r:id="rId1"/>
  <headerFooter alignWithMargins="0">
    <oddFooter>&amp;L&amp;F&amp;A&amp;CPLG Copyright&amp;R&amp;D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74"/>
  <sheetViews>
    <sheetView topLeftCell="A19" zoomScale="80" zoomScaleNormal="80" workbookViewId="0">
      <selection activeCell="I60" sqref="I60"/>
    </sheetView>
  </sheetViews>
  <sheetFormatPr defaultRowHeight="12.75" x14ac:dyDescent="0.2"/>
  <cols>
    <col min="1" max="2" width="2.85546875" customWidth="1"/>
    <col min="3" max="3" width="39.5703125" customWidth="1"/>
    <col min="4" max="4" width="7.42578125" customWidth="1"/>
    <col min="5" max="6" width="9.28515625" customWidth="1"/>
    <col min="7" max="7" width="13.42578125" customWidth="1"/>
    <col min="8" max="10" width="9.28515625" customWidth="1"/>
    <col min="11" max="11" width="13.140625" customWidth="1"/>
    <col min="12" max="18" width="9.28515625" customWidth="1"/>
    <col min="19" max="19" width="12.5703125" customWidth="1"/>
    <col min="20" max="22" width="9.28515625" customWidth="1"/>
    <col min="23" max="23" width="12.7109375" customWidth="1"/>
    <col min="24" max="24" width="9.28515625" customWidth="1"/>
    <col min="25" max="25" width="11.85546875" customWidth="1"/>
    <col min="26" max="26" width="8.140625" bestFit="1" customWidth="1"/>
    <col min="27" max="27" width="9.5703125" customWidth="1"/>
    <col min="28" max="28" width="9.7109375" bestFit="1" customWidth="1"/>
    <col min="29" max="29" width="9.28515625" customWidth="1"/>
    <col min="32" max="32" width="9.7109375" bestFit="1" customWidth="1"/>
  </cols>
  <sheetData>
    <row r="1" spans="1:24" ht="15.75" x14ac:dyDescent="0.25">
      <c r="A1" s="119" t="s">
        <v>38</v>
      </c>
      <c r="E1" s="22" t="s">
        <v>86</v>
      </c>
      <c r="F1" s="6"/>
      <c r="G1" s="204" t="s">
        <v>143</v>
      </c>
      <c r="H1" s="205"/>
      <c r="I1" s="205"/>
      <c r="J1" s="206"/>
      <c r="K1" s="206"/>
      <c r="M1" s="89"/>
      <c r="S1" s="89"/>
    </row>
    <row r="2" spans="1:24" x14ac:dyDescent="0.2">
      <c r="A2" s="293"/>
      <c r="B2" s="287"/>
      <c r="C2" s="442" t="s">
        <v>320</v>
      </c>
      <c r="D2" s="287"/>
      <c r="E2" s="442" t="s">
        <v>313</v>
      </c>
      <c r="F2" s="287"/>
      <c r="G2" s="287"/>
      <c r="H2" s="287"/>
      <c r="I2" s="287"/>
      <c r="J2" s="287"/>
      <c r="K2" s="385">
        <f>G23/30*L2</f>
        <v>1067.3703703703702</v>
      </c>
      <c r="L2" s="443">
        <v>100</v>
      </c>
      <c r="M2" s="442" t="s">
        <v>314</v>
      </c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8"/>
    </row>
    <row r="3" spans="1:24" ht="15.75" x14ac:dyDescent="0.25">
      <c r="A3" s="309" t="s">
        <v>535</v>
      </c>
      <c r="B3" s="287"/>
      <c r="C3" s="384"/>
      <c r="D3" s="287"/>
      <c r="E3" s="384"/>
      <c r="F3" s="287"/>
      <c r="G3" s="287"/>
      <c r="H3" s="287"/>
      <c r="I3" s="287"/>
      <c r="J3" s="287"/>
      <c r="K3" s="385"/>
      <c r="L3" s="288"/>
      <c r="M3" s="11"/>
      <c r="N3" s="309" t="s">
        <v>527</v>
      </c>
      <c r="O3" s="287"/>
      <c r="P3" s="287"/>
      <c r="Q3" s="287"/>
      <c r="R3" s="287"/>
      <c r="S3" s="287"/>
      <c r="T3" s="287"/>
      <c r="U3" s="287"/>
      <c r="V3" s="287"/>
      <c r="W3" s="287"/>
      <c r="X3" s="288"/>
    </row>
    <row r="4" spans="1:24" x14ac:dyDescent="0.2">
      <c r="A4" s="284"/>
      <c r="B4" s="6" t="s">
        <v>136</v>
      </c>
      <c r="C4" s="11"/>
      <c r="D4" s="11"/>
      <c r="E4" s="11" t="s">
        <v>225</v>
      </c>
      <c r="F4" s="11"/>
      <c r="G4" s="386">
        <v>25</v>
      </c>
      <c r="H4" s="51"/>
      <c r="I4" s="11" t="s">
        <v>225</v>
      </c>
      <c r="J4" s="11"/>
      <c r="K4" s="386">
        <v>50</v>
      </c>
      <c r="L4" s="289"/>
      <c r="M4" s="11"/>
      <c r="N4" s="284" t="s">
        <v>225</v>
      </c>
      <c r="O4" s="11"/>
      <c r="P4" s="11"/>
      <c r="Q4" s="11"/>
      <c r="R4" s="11"/>
      <c r="S4" s="386">
        <f>G4</f>
        <v>25</v>
      </c>
      <c r="T4" s="51"/>
      <c r="U4" s="11" t="s">
        <v>225</v>
      </c>
      <c r="V4" s="11"/>
      <c r="W4" s="386">
        <f>K4</f>
        <v>50</v>
      </c>
      <c r="X4" s="289"/>
    </row>
    <row r="5" spans="1:24" x14ac:dyDescent="0.2">
      <c r="A5" s="284"/>
      <c r="B5" s="6"/>
      <c r="C5" s="11"/>
      <c r="D5" s="11"/>
      <c r="E5" s="244" t="s">
        <v>308</v>
      </c>
      <c r="F5" s="11"/>
      <c r="G5" s="697">
        <v>15000</v>
      </c>
      <c r="H5" s="51"/>
      <c r="I5" s="14" t="str">
        <f>E5</f>
        <v>API cost per kg $</v>
      </c>
      <c r="J5" s="11"/>
      <c r="K5" s="697">
        <f>G5</f>
        <v>15000</v>
      </c>
      <c r="L5" s="289"/>
      <c r="M5" s="11"/>
      <c r="N5" s="284"/>
      <c r="O5" s="11"/>
      <c r="P5" s="11"/>
      <c r="Q5" s="14" t="str">
        <f>E5</f>
        <v>API cost per kg $</v>
      </c>
      <c r="R5" s="11"/>
      <c r="S5" s="697">
        <f>G5</f>
        <v>15000</v>
      </c>
      <c r="T5" s="11"/>
      <c r="U5" s="11" t="str">
        <f>Q5</f>
        <v>API cost per kg $</v>
      </c>
      <c r="V5" s="11"/>
      <c r="W5" s="697">
        <f>G5</f>
        <v>15000</v>
      </c>
      <c r="X5" s="289"/>
    </row>
    <row r="6" spans="1:24" x14ac:dyDescent="0.2">
      <c r="A6" s="284"/>
      <c r="B6" s="6"/>
      <c r="C6" s="11"/>
      <c r="D6" s="11"/>
      <c r="E6" s="244" t="s">
        <v>309</v>
      </c>
      <c r="F6" s="11"/>
      <c r="G6" s="70">
        <f>G4*G5</f>
        <v>375000</v>
      </c>
      <c r="H6" s="12"/>
      <c r="I6" s="14" t="str">
        <f>E6</f>
        <v xml:space="preserve">API Cost / batch $ </v>
      </c>
      <c r="J6" s="11"/>
      <c r="K6" s="70">
        <f>K4*K5</f>
        <v>750000</v>
      </c>
      <c r="L6" s="313"/>
      <c r="M6" s="11"/>
      <c r="N6" s="284"/>
      <c r="O6" s="11"/>
      <c r="P6" s="11"/>
      <c r="Q6" s="14" t="str">
        <f>E6</f>
        <v xml:space="preserve">API Cost / batch $ </v>
      </c>
      <c r="R6" s="11"/>
      <c r="S6" s="70">
        <f>S4*S5</f>
        <v>375000</v>
      </c>
      <c r="T6" s="11"/>
      <c r="U6" s="11" t="str">
        <f>Q6</f>
        <v xml:space="preserve">API Cost / batch $ </v>
      </c>
      <c r="V6" s="11"/>
      <c r="W6" s="70">
        <f>W4*W5</f>
        <v>750000</v>
      </c>
      <c r="X6" s="289"/>
    </row>
    <row r="7" spans="1:24" x14ac:dyDescent="0.2">
      <c r="A7" s="284"/>
      <c r="B7" s="11"/>
      <c r="C7" s="11"/>
      <c r="D7" s="11"/>
      <c r="E7" s="11" t="s">
        <v>221</v>
      </c>
      <c r="F7" s="11"/>
      <c r="G7" s="387">
        <v>0.9</v>
      </c>
      <c r="H7" s="51"/>
      <c r="I7" s="11" t="s">
        <v>221</v>
      </c>
      <c r="J7" s="11"/>
      <c r="K7" s="387">
        <f>G7</f>
        <v>0.9</v>
      </c>
      <c r="L7" s="289"/>
      <c r="M7" s="11"/>
      <c r="N7" s="284"/>
      <c r="O7" s="11"/>
      <c r="P7" s="11"/>
      <c r="Q7" s="11" t="s">
        <v>221</v>
      </c>
      <c r="R7" s="11"/>
      <c r="S7" s="387">
        <f>G7</f>
        <v>0.9</v>
      </c>
      <c r="T7" s="11"/>
      <c r="U7" s="11" t="str">
        <f>Q7</f>
        <v>Yield</v>
      </c>
      <c r="V7" s="11"/>
      <c r="W7" s="387">
        <f>K7</f>
        <v>0.9</v>
      </c>
      <c r="X7" s="289"/>
    </row>
    <row r="8" spans="1:24" x14ac:dyDescent="0.2">
      <c r="A8" s="284"/>
      <c r="B8" s="11"/>
      <c r="C8" s="11"/>
      <c r="D8" s="11"/>
      <c r="E8" s="243" t="s">
        <v>300</v>
      </c>
      <c r="F8" s="11"/>
      <c r="G8" s="12">
        <f>G4*G7*1000000</f>
        <v>22500000</v>
      </c>
      <c r="H8" s="11"/>
      <c r="I8" s="14" t="str">
        <f>E8</f>
        <v>Caps API mg</v>
      </c>
      <c r="J8" s="11"/>
      <c r="K8" s="12">
        <f>K4*K7*1000000</f>
        <v>45000000</v>
      </c>
      <c r="L8" s="289"/>
      <c r="M8" s="11"/>
      <c r="N8" s="284"/>
      <c r="O8" s="11"/>
      <c r="P8" s="11"/>
      <c r="Q8" s="14" t="str">
        <f>E8</f>
        <v>Caps API mg</v>
      </c>
      <c r="R8" s="11"/>
      <c r="S8" s="12">
        <f>S4*S7*1000000</f>
        <v>22500000</v>
      </c>
      <c r="T8" s="11"/>
      <c r="U8" s="11" t="str">
        <f t="shared" ref="U8:U10" si="0">Q8</f>
        <v>Caps API mg</v>
      </c>
      <c r="V8" s="11"/>
      <c r="W8" s="12">
        <f>W4*W7*1000000</f>
        <v>45000000</v>
      </c>
      <c r="X8" s="289"/>
    </row>
    <row r="9" spans="1:24" x14ac:dyDescent="0.2">
      <c r="A9" s="284"/>
      <c r="B9" s="11"/>
      <c r="C9" s="11"/>
      <c r="D9" s="11"/>
      <c r="E9" s="243" t="s">
        <v>301</v>
      </c>
      <c r="F9" s="11"/>
      <c r="G9" s="12">
        <v>40</v>
      </c>
      <c r="H9" s="11"/>
      <c r="I9" s="14" t="str">
        <f t="shared" ref="I9:I10" si="1">E9</f>
        <v>Mg per cap</v>
      </c>
      <c r="J9" s="11"/>
      <c r="K9" s="12">
        <f>G9</f>
        <v>40</v>
      </c>
      <c r="L9" s="289"/>
      <c r="M9" s="11"/>
      <c r="N9" s="284"/>
      <c r="O9" s="11"/>
      <c r="P9" s="11"/>
      <c r="Q9" s="14" t="str">
        <f t="shared" ref="Q9:Q10" si="2">E9</f>
        <v>Mg per cap</v>
      </c>
      <c r="R9" s="11"/>
      <c r="S9" s="12">
        <f>G9</f>
        <v>40</v>
      </c>
      <c r="T9" s="11"/>
      <c r="U9" s="11" t="str">
        <f t="shared" si="0"/>
        <v>Mg per cap</v>
      </c>
      <c r="V9" s="11"/>
      <c r="W9" s="12">
        <f>S9</f>
        <v>40</v>
      </c>
      <c r="X9" s="289"/>
    </row>
    <row r="10" spans="1:24" x14ac:dyDescent="0.2">
      <c r="A10" s="284"/>
      <c r="B10" s="11"/>
      <c r="C10" s="11"/>
      <c r="D10" s="11"/>
      <c r="E10" s="436" t="s">
        <v>302</v>
      </c>
      <c r="F10" s="11"/>
      <c r="G10" s="388">
        <f>G8/G9</f>
        <v>562500</v>
      </c>
      <c r="H10" s="51"/>
      <c r="I10" s="14" t="str">
        <f t="shared" si="1"/>
        <v>Caps per batch</v>
      </c>
      <c r="J10" s="11"/>
      <c r="K10" s="388">
        <f>K8/K9</f>
        <v>1125000</v>
      </c>
      <c r="L10" s="289"/>
      <c r="M10" s="11"/>
      <c r="N10" s="284"/>
      <c r="O10" s="11"/>
      <c r="P10" s="11"/>
      <c r="Q10" s="14" t="str">
        <f t="shared" si="2"/>
        <v>Caps per batch</v>
      </c>
      <c r="R10" s="11"/>
      <c r="S10" s="388">
        <f>S8/S9</f>
        <v>562500</v>
      </c>
      <c r="T10" s="11"/>
      <c r="U10" s="11" t="str">
        <f t="shared" si="0"/>
        <v>Caps per batch</v>
      </c>
      <c r="V10" s="11"/>
      <c r="W10" s="388">
        <f>W8/W9</f>
        <v>1125000</v>
      </c>
      <c r="X10" s="289"/>
    </row>
    <row r="11" spans="1:24" x14ac:dyDescent="0.2">
      <c r="A11" s="284"/>
      <c r="B11" s="11"/>
      <c r="C11" s="11">
        <f>100*2.18</f>
        <v>218.00000000000003</v>
      </c>
      <c r="D11" s="11"/>
      <c r="E11" s="244" t="s">
        <v>303</v>
      </c>
      <c r="F11" s="11"/>
      <c r="G11" s="245">
        <v>100</v>
      </c>
      <c r="H11" s="12"/>
      <c r="I11" s="14" t="str">
        <f>E11</f>
        <v>Pack size caps</v>
      </c>
      <c r="J11" s="11"/>
      <c r="K11" s="245">
        <f>G11</f>
        <v>100</v>
      </c>
      <c r="L11" s="313"/>
      <c r="M11" s="11"/>
      <c r="N11" s="284"/>
      <c r="O11" s="11"/>
      <c r="P11" s="11"/>
      <c r="Q11" s="244" t="str">
        <f>E11</f>
        <v>Pack size caps</v>
      </c>
      <c r="R11" s="11"/>
      <c r="S11" s="245">
        <f>G11</f>
        <v>100</v>
      </c>
      <c r="T11" s="12"/>
      <c r="U11" s="14" t="str">
        <f>Q11</f>
        <v>Pack size caps</v>
      </c>
      <c r="V11" s="11"/>
      <c r="W11" s="245">
        <f>S11</f>
        <v>100</v>
      </c>
      <c r="X11" s="289"/>
    </row>
    <row r="12" spans="1:24" x14ac:dyDescent="0.2">
      <c r="A12" s="284"/>
      <c r="B12" s="11"/>
      <c r="C12" s="11"/>
      <c r="D12" s="11"/>
      <c r="E12" s="244" t="s">
        <v>310</v>
      </c>
      <c r="F12" s="11"/>
      <c r="G12" s="12">
        <f>G10/G11</f>
        <v>5625</v>
      </c>
      <c r="H12" s="51"/>
      <c r="I12" s="244" t="str">
        <f>E12</f>
        <v>Packs per batch</v>
      </c>
      <c r="J12" s="11"/>
      <c r="K12" s="12">
        <f>K10/K11</f>
        <v>11250</v>
      </c>
      <c r="L12" s="289"/>
      <c r="M12" s="11"/>
      <c r="N12" s="284"/>
      <c r="O12" s="11"/>
      <c r="P12" s="11"/>
      <c r="Q12" s="244" t="str">
        <f>E12</f>
        <v>Packs per batch</v>
      </c>
      <c r="R12" s="11"/>
      <c r="S12" s="12">
        <f>S10/S11</f>
        <v>5625</v>
      </c>
      <c r="T12" s="11"/>
      <c r="U12" s="14" t="str">
        <f>Q12</f>
        <v>Packs per batch</v>
      </c>
      <c r="V12" s="11"/>
      <c r="W12" s="12">
        <f>W10/W11</f>
        <v>11250</v>
      </c>
      <c r="X12" s="289"/>
    </row>
    <row r="13" spans="1:24" x14ac:dyDescent="0.2">
      <c r="A13" s="284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289"/>
      <c r="M13" s="11"/>
      <c r="N13" s="284"/>
      <c r="O13" s="11"/>
      <c r="P13" s="11"/>
      <c r="Q13" s="11"/>
      <c r="R13" s="11"/>
      <c r="S13" s="11"/>
      <c r="T13" s="11"/>
      <c r="U13" s="11"/>
      <c r="V13" s="11"/>
      <c r="W13" s="11"/>
      <c r="X13" s="289"/>
    </row>
    <row r="14" spans="1:24" x14ac:dyDescent="0.2">
      <c r="A14" s="284"/>
      <c r="B14" s="10" t="s">
        <v>208</v>
      </c>
      <c r="C14" s="11"/>
      <c r="D14" s="11"/>
      <c r="E14" s="11"/>
      <c r="F14" s="11"/>
      <c r="G14" s="13" t="s">
        <v>297</v>
      </c>
      <c r="H14" s="11"/>
      <c r="I14" s="11"/>
      <c r="J14" s="11"/>
      <c r="K14" s="13" t="s">
        <v>297</v>
      </c>
      <c r="L14" s="507"/>
      <c r="M14" s="11"/>
      <c r="N14" s="284"/>
      <c r="O14" s="11"/>
      <c r="P14" s="11"/>
      <c r="Q14" s="11"/>
      <c r="R14" s="11"/>
      <c r="S14" s="13" t="str">
        <f>G14</f>
        <v xml:space="preserve">Cost / pack $ </v>
      </c>
      <c r="T14" s="11"/>
      <c r="U14" s="11"/>
      <c r="V14" s="11"/>
      <c r="W14" s="13" t="str">
        <f>S14</f>
        <v xml:space="preserve">Cost / pack $ </v>
      </c>
      <c r="X14" s="289"/>
    </row>
    <row r="15" spans="1:24" x14ac:dyDescent="0.2">
      <c r="A15" s="284"/>
      <c r="B15" s="10"/>
      <c r="C15" s="11" t="s">
        <v>214</v>
      </c>
      <c r="D15" s="11"/>
      <c r="E15" s="11"/>
      <c r="F15" s="11"/>
      <c r="G15" s="274">
        <f>G6/G12</f>
        <v>66.666666666666671</v>
      </c>
      <c r="H15" s="11"/>
      <c r="I15" s="11"/>
      <c r="J15" s="11"/>
      <c r="K15" s="274">
        <f>K6/K12</f>
        <v>66.666666666666671</v>
      </c>
      <c r="L15" s="507"/>
      <c r="M15" s="11"/>
      <c r="N15" s="284" t="s">
        <v>214</v>
      </c>
      <c r="O15" s="11"/>
      <c r="P15" s="11"/>
      <c r="Q15" s="11"/>
      <c r="R15" s="11"/>
      <c r="S15" s="274">
        <f>S6/S12</f>
        <v>66.666666666666671</v>
      </c>
      <c r="T15" s="11"/>
      <c r="U15" s="11"/>
      <c r="V15" s="11"/>
      <c r="W15" s="274">
        <f>W6/W12</f>
        <v>66.666666666666671</v>
      </c>
      <c r="X15" s="289"/>
    </row>
    <row r="16" spans="1:24" x14ac:dyDescent="0.2">
      <c r="A16" s="284"/>
      <c r="B16" s="10"/>
      <c r="C16" s="11" t="s">
        <v>215</v>
      </c>
      <c r="D16" s="11"/>
      <c r="E16" s="22"/>
      <c r="F16" s="6"/>
      <c r="G16" s="280">
        <v>17</v>
      </c>
      <c r="H16" s="11"/>
      <c r="I16" s="11"/>
      <c r="J16" s="6"/>
      <c r="K16" s="280">
        <f>G16</f>
        <v>17</v>
      </c>
      <c r="L16" s="507"/>
      <c r="M16" s="11"/>
      <c r="N16" s="284" t="s">
        <v>215</v>
      </c>
      <c r="O16" s="11"/>
      <c r="P16" s="11"/>
      <c r="Q16" s="11"/>
      <c r="R16" s="11"/>
      <c r="S16" s="280">
        <f>G16</f>
        <v>17</v>
      </c>
      <c r="T16" s="11"/>
      <c r="U16" s="11"/>
      <c r="V16" s="6"/>
      <c r="W16" s="280">
        <f>S16</f>
        <v>17</v>
      </c>
      <c r="X16" s="289"/>
    </row>
    <row r="17" spans="1:37" x14ac:dyDescent="0.2">
      <c r="A17" s="284"/>
      <c r="B17" s="10"/>
      <c r="C17" s="11" t="s">
        <v>209</v>
      </c>
      <c r="D17" s="11"/>
      <c r="E17" s="22"/>
      <c r="F17" s="6"/>
      <c r="G17" s="280">
        <v>17</v>
      </c>
      <c r="H17" s="11"/>
      <c r="I17" s="11"/>
      <c r="J17" s="6"/>
      <c r="K17" s="280">
        <f>G17</f>
        <v>17</v>
      </c>
      <c r="L17" s="507"/>
      <c r="M17" s="11"/>
      <c r="N17" s="284" t="s">
        <v>209</v>
      </c>
      <c r="O17" s="185"/>
      <c r="P17" s="11"/>
      <c r="Q17" s="11"/>
      <c r="R17" s="11"/>
      <c r="S17" s="280">
        <f>G17</f>
        <v>17</v>
      </c>
      <c r="T17" s="11"/>
      <c r="U17" s="11"/>
      <c r="V17" s="6"/>
      <c r="W17" s="280">
        <f>S17</f>
        <v>17</v>
      </c>
      <c r="X17" s="289"/>
    </row>
    <row r="18" spans="1:37" x14ac:dyDescent="0.2">
      <c r="A18" s="284"/>
      <c r="B18" s="10"/>
      <c r="C18" s="10" t="s">
        <v>210</v>
      </c>
      <c r="D18" s="11"/>
      <c r="E18" s="22"/>
      <c r="F18" s="6"/>
      <c r="G18" s="275">
        <f>SUM(G15:G17)</f>
        <v>100.66666666666667</v>
      </c>
      <c r="H18" s="11"/>
      <c r="I18" s="11"/>
      <c r="J18" s="6"/>
      <c r="K18" s="275">
        <f>SUM(K15:K17)</f>
        <v>100.66666666666667</v>
      </c>
      <c r="L18" s="507"/>
      <c r="M18" s="11"/>
      <c r="N18" s="456" t="s">
        <v>210</v>
      </c>
      <c r="O18" s="11"/>
      <c r="P18" s="11"/>
      <c r="Q18" s="22"/>
      <c r="R18" s="6"/>
      <c r="S18" s="275">
        <f>SUM(S15:S17)</f>
        <v>100.66666666666667</v>
      </c>
      <c r="T18" s="11"/>
      <c r="U18" s="11"/>
      <c r="V18" s="6"/>
      <c r="W18" s="275">
        <f>SUM(W15:W17)</f>
        <v>100.66666666666667</v>
      </c>
      <c r="X18" s="289"/>
    </row>
    <row r="19" spans="1:37" x14ac:dyDescent="0.2">
      <c r="A19" s="284"/>
      <c r="B19" s="10" t="s">
        <v>211</v>
      </c>
      <c r="C19" s="11"/>
      <c r="D19" s="11"/>
      <c r="E19" s="22"/>
      <c r="F19" s="6"/>
      <c r="G19" s="276"/>
      <c r="H19" s="11"/>
      <c r="I19" s="11"/>
      <c r="J19" s="6"/>
      <c r="K19" s="276"/>
      <c r="L19" s="507"/>
      <c r="M19" s="11"/>
      <c r="N19" s="456" t="s">
        <v>211</v>
      </c>
      <c r="O19" s="11"/>
      <c r="P19" s="11"/>
      <c r="Q19" s="11"/>
      <c r="R19" s="11"/>
      <c r="S19" s="11"/>
      <c r="T19" s="11"/>
      <c r="U19" s="11"/>
      <c r="V19" s="11"/>
      <c r="W19" s="11"/>
      <c r="X19" s="289"/>
    </row>
    <row r="20" spans="1:37" x14ac:dyDescent="0.2">
      <c r="A20" s="284"/>
      <c r="B20" s="10"/>
      <c r="C20" s="11" t="s">
        <v>211</v>
      </c>
      <c r="D20" s="11"/>
      <c r="E20" s="22"/>
      <c r="F20" s="279">
        <v>1000</v>
      </c>
      <c r="G20" s="274">
        <f>F20/G12*1000</f>
        <v>177.77777777777777</v>
      </c>
      <c r="H20" s="11"/>
      <c r="I20" s="11"/>
      <c r="J20" s="279">
        <f>F20</f>
        <v>1000</v>
      </c>
      <c r="K20" s="274">
        <f>J20/K12*1000</f>
        <v>88.888888888888886</v>
      </c>
      <c r="L20" s="507"/>
      <c r="M20" s="11"/>
      <c r="N20" s="284"/>
      <c r="O20" s="11" t="s">
        <v>211</v>
      </c>
      <c r="P20" s="11"/>
      <c r="Q20" s="22"/>
      <c r="R20" s="279">
        <f>F20</f>
        <v>1000</v>
      </c>
      <c r="S20" s="274">
        <f>R20/S12*1000</f>
        <v>177.77777777777777</v>
      </c>
      <c r="T20" s="11"/>
      <c r="U20" s="11"/>
      <c r="V20" s="279">
        <f>R20</f>
        <v>1000</v>
      </c>
      <c r="W20" s="274">
        <f>V20/W12*1000</f>
        <v>88.888888888888886</v>
      </c>
      <c r="X20" s="289"/>
    </row>
    <row r="21" spans="1:37" x14ac:dyDescent="0.2">
      <c r="A21" s="284"/>
      <c r="B21" s="10" t="s">
        <v>218</v>
      </c>
      <c r="C21" s="11"/>
      <c r="D21" s="11"/>
      <c r="E21" s="22"/>
      <c r="F21" s="6"/>
      <c r="G21" s="275">
        <f>G20+G18</f>
        <v>278.44444444444446</v>
      </c>
      <c r="H21" s="11"/>
      <c r="I21" s="11"/>
      <c r="J21" s="6"/>
      <c r="K21" s="275">
        <f>K20+K18</f>
        <v>189.55555555555554</v>
      </c>
      <c r="L21" s="507"/>
      <c r="M21" s="11"/>
      <c r="N21" s="456" t="s">
        <v>218</v>
      </c>
      <c r="O21" s="11"/>
      <c r="P21" s="11"/>
      <c r="Q21" s="22"/>
      <c r="R21" s="240"/>
      <c r="S21" s="275">
        <f>S18+S20</f>
        <v>278.44444444444446</v>
      </c>
      <c r="T21" s="11"/>
      <c r="U21" s="11"/>
      <c r="V21" s="240"/>
      <c r="W21" s="275">
        <f>W18+W20</f>
        <v>189.55555555555554</v>
      </c>
      <c r="X21" s="289"/>
    </row>
    <row r="22" spans="1:37" x14ac:dyDescent="0.2">
      <c r="A22" s="284"/>
      <c r="B22" s="11"/>
      <c r="C22" s="243" t="s">
        <v>311</v>
      </c>
      <c r="D22" s="441"/>
      <c r="E22" s="252" t="s">
        <v>312</v>
      </c>
      <c r="F22" s="439">
        <v>0.15</v>
      </c>
      <c r="G22" s="266">
        <f>F22*G21</f>
        <v>41.766666666666666</v>
      </c>
      <c r="H22" s="11"/>
      <c r="I22" s="11"/>
      <c r="J22" s="62">
        <f>F22</f>
        <v>0.15</v>
      </c>
      <c r="K22" s="266">
        <f>J22*K21</f>
        <v>28.43333333333333</v>
      </c>
      <c r="L22" s="507"/>
      <c r="M22" s="11"/>
      <c r="N22" s="456"/>
      <c r="O22" s="11" t="s">
        <v>217</v>
      </c>
      <c r="P22" s="11"/>
      <c r="Q22" s="22"/>
      <c r="R22" s="439">
        <v>0.02</v>
      </c>
      <c r="S22" s="266">
        <f>R22*S21</f>
        <v>5.568888888888889</v>
      </c>
      <c r="T22" s="11"/>
      <c r="U22" s="11"/>
      <c r="V22" s="62">
        <f>R22</f>
        <v>0.02</v>
      </c>
      <c r="W22" s="266">
        <f>V22*W21</f>
        <v>3.7911111111111109</v>
      </c>
      <c r="X22" s="289"/>
    </row>
    <row r="23" spans="1:37" ht="13.5" thickBot="1" x14ac:dyDescent="0.25">
      <c r="A23" s="284"/>
      <c r="B23" s="10" t="s">
        <v>212</v>
      </c>
      <c r="C23" s="11"/>
      <c r="D23" s="11"/>
      <c r="E23" s="22"/>
      <c r="F23" s="62"/>
      <c r="G23" s="277">
        <f>G21+G22</f>
        <v>320.21111111111111</v>
      </c>
      <c r="H23" s="11"/>
      <c r="I23" s="11"/>
      <c r="J23" s="62"/>
      <c r="K23" s="277">
        <f>K21+K22</f>
        <v>217.98888888888888</v>
      </c>
      <c r="L23" s="507"/>
      <c r="M23" s="11"/>
      <c r="N23" s="456" t="s">
        <v>223</v>
      </c>
      <c r="O23" s="11"/>
      <c r="P23" s="11"/>
      <c r="Q23" s="6" t="s">
        <v>239</v>
      </c>
      <c r="R23" s="6" t="s">
        <v>224</v>
      </c>
      <c r="S23" s="277">
        <f>S21+S22</f>
        <v>284.01333333333332</v>
      </c>
      <c r="T23" s="11"/>
      <c r="U23" s="6" t="s">
        <v>239</v>
      </c>
      <c r="V23" s="6" t="s">
        <v>224</v>
      </c>
      <c r="W23" s="277">
        <f>W21+W22</f>
        <v>193.34666666666666</v>
      </c>
      <c r="X23" s="289"/>
    </row>
    <row r="24" spans="1:37" ht="13.5" thickTop="1" x14ac:dyDescent="0.2">
      <c r="A24" s="284"/>
      <c r="B24" s="10"/>
      <c r="C24" s="11" t="s">
        <v>216</v>
      </c>
      <c r="D24" s="11"/>
      <c r="E24" s="22"/>
      <c r="F24" s="271">
        <f>Control!I12</f>
        <v>0.25</v>
      </c>
      <c r="G24" s="274">
        <f>F24*G23</f>
        <v>80.052777777777777</v>
      </c>
      <c r="H24" s="11"/>
      <c r="I24" s="11"/>
      <c r="J24" s="271">
        <f>Control!I12</f>
        <v>0.25</v>
      </c>
      <c r="K24" s="274">
        <f>J24*K23</f>
        <v>54.49722222222222</v>
      </c>
      <c r="L24" s="507"/>
      <c r="M24" s="183"/>
      <c r="N24" s="456" t="s">
        <v>213</v>
      </c>
      <c r="O24" s="11"/>
      <c r="P24" s="11"/>
      <c r="Q24" s="278">
        <v>15</v>
      </c>
      <c r="R24" s="70">
        <f>Sales!I70</f>
        <v>23.586961063429662</v>
      </c>
      <c r="S24" s="274">
        <f>Q24/R24</f>
        <v>0.63594457800910642</v>
      </c>
      <c r="T24" s="11"/>
      <c r="U24" s="278">
        <v>30</v>
      </c>
      <c r="V24" s="67">
        <f>Sales!I71</f>
        <v>979.97891740636555</v>
      </c>
      <c r="W24" s="274">
        <f>U24/V24</f>
        <v>3.0612903468779391E-2</v>
      </c>
      <c r="X24" s="289"/>
    </row>
    <row r="25" spans="1:37" ht="13.5" thickBot="1" x14ac:dyDescent="0.25">
      <c r="A25" s="284"/>
      <c r="B25" s="10" t="s">
        <v>219</v>
      </c>
      <c r="C25" s="11"/>
      <c r="D25" s="11"/>
      <c r="E25" s="22"/>
      <c r="F25" s="6"/>
      <c r="G25" s="277">
        <f>G23+G24</f>
        <v>400.26388888888891</v>
      </c>
      <c r="H25" s="11"/>
      <c r="I25" s="11"/>
      <c r="J25" s="11"/>
      <c r="K25" s="277">
        <f>K23+K24</f>
        <v>272.48611111111109</v>
      </c>
      <c r="L25" s="507"/>
      <c r="M25" s="183"/>
      <c r="N25" s="456" t="s">
        <v>222</v>
      </c>
      <c r="O25" s="11"/>
      <c r="P25" s="11"/>
      <c r="Q25" s="22"/>
      <c r="R25" s="6"/>
      <c r="S25" s="277">
        <f>S23+S24</f>
        <v>284.64927791134244</v>
      </c>
      <c r="T25" s="11"/>
      <c r="U25" s="11"/>
      <c r="V25" s="11"/>
      <c r="W25" s="277">
        <f>W23+W24</f>
        <v>193.37727957013544</v>
      </c>
      <c r="X25" s="289"/>
    </row>
    <row r="26" spans="1:37" ht="13.5" thickTop="1" x14ac:dyDescent="0.2">
      <c r="A26" s="284"/>
      <c r="B26" s="10"/>
      <c r="C26" s="243" t="s">
        <v>534</v>
      </c>
      <c r="D26" s="11"/>
      <c r="E26" s="22"/>
      <c r="F26" s="6"/>
      <c r="G26" s="71">
        <f>Sales!$N$44*1000</f>
        <v>5019.9649425332418</v>
      </c>
      <c r="H26" s="11"/>
      <c r="I26" s="11"/>
      <c r="J26" s="11"/>
      <c r="K26" s="259">
        <f>G26</f>
        <v>5019.9649425332418</v>
      </c>
      <c r="L26" s="507"/>
      <c r="M26" s="183"/>
      <c r="N26" s="456"/>
      <c r="O26" s="11" t="s">
        <v>220</v>
      </c>
      <c r="P26" s="11"/>
      <c r="Q26" s="22"/>
      <c r="R26" s="6"/>
      <c r="S26" s="71">
        <f>G26</f>
        <v>5019.9649425332418</v>
      </c>
      <c r="T26" s="11"/>
      <c r="U26" s="11"/>
      <c r="V26" s="11"/>
      <c r="W26" s="71">
        <f>K26</f>
        <v>5019.9649425332418</v>
      </c>
      <c r="X26" s="289"/>
    </row>
    <row r="27" spans="1:37" x14ac:dyDescent="0.2">
      <c r="A27" s="284"/>
      <c r="B27" s="10"/>
      <c r="C27" s="14" t="s">
        <v>268</v>
      </c>
      <c r="D27" s="11"/>
      <c r="E27" s="22"/>
      <c r="F27" s="6"/>
      <c r="G27" s="438">
        <f>G25/G26</f>
        <v>7.9734399238035797E-2</v>
      </c>
      <c r="H27" s="11"/>
      <c r="I27" s="11"/>
      <c r="J27" s="11"/>
      <c r="K27" s="438">
        <f>K25/K26</f>
        <v>5.4280480885909435E-2</v>
      </c>
      <c r="L27" s="507"/>
      <c r="M27" s="183"/>
      <c r="N27" s="456"/>
      <c r="O27" s="14" t="s">
        <v>268</v>
      </c>
      <c r="P27" s="11"/>
      <c r="Q27" s="22"/>
      <c r="R27" s="6"/>
      <c r="S27" s="262">
        <f>S25/S26</f>
        <v>5.6703439400455038E-2</v>
      </c>
      <c r="T27" s="11"/>
      <c r="U27" s="11"/>
      <c r="V27" s="11"/>
      <c r="W27" s="262">
        <f>W25/W26</f>
        <v>3.8521639450444213E-2</v>
      </c>
      <c r="X27" s="289"/>
    </row>
    <row r="28" spans="1:37" x14ac:dyDescent="0.2">
      <c r="A28" s="290"/>
      <c r="B28" s="197"/>
      <c r="C28" s="21" t="s">
        <v>172</v>
      </c>
      <c r="D28" s="21"/>
      <c r="E28" s="327"/>
      <c r="F28" s="60"/>
      <c r="G28" s="389"/>
      <c r="H28" s="21"/>
      <c r="I28" s="21"/>
      <c r="J28" s="21"/>
      <c r="K28" s="389"/>
      <c r="L28" s="508"/>
      <c r="M28" s="390"/>
      <c r="N28" s="509"/>
      <c r="O28" s="391"/>
      <c r="P28" s="21"/>
      <c r="Q28" s="21"/>
      <c r="R28" s="21"/>
      <c r="S28" s="21"/>
      <c r="T28" s="21"/>
      <c r="U28" s="21"/>
      <c r="V28" s="21"/>
      <c r="W28" s="21"/>
      <c r="X28" s="295"/>
    </row>
    <row r="29" spans="1:37" x14ac:dyDescent="0.2">
      <c r="B29" s="1"/>
      <c r="E29" s="22"/>
      <c r="F29" s="6"/>
      <c r="G29" s="241"/>
      <c r="J29" s="241"/>
      <c r="K29" s="184"/>
      <c r="L29" s="184"/>
      <c r="M29" s="184"/>
      <c r="N29" s="184"/>
      <c r="O29" s="185"/>
    </row>
    <row r="30" spans="1:37" ht="15.75" x14ac:dyDescent="0.25">
      <c r="A30" s="309" t="s">
        <v>226</v>
      </c>
      <c r="B30" s="287"/>
      <c r="C30" s="287"/>
      <c r="D30" s="287"/>
      <c r="E30" s="212">
        <f>Control!Y2</f>
        <v>2008</v>
      </c>
      <c r="F30" s="212">
        <f>E30+1</f>
        <v>2009</v>
      </c>
      <c r="G30" s="212">
        <f t="shared" ref="G30:O30" si="3">F30+1</f>
        <v>2010</v>
      </c>
      <c r="H30" s="212">
        <f>G30+1</f>
        <v>2011</v>
      </c>
      <c r="I30" s="212">
        <f t="shared" si="3"/>
        <v>2012</v>
      </c>
      <c r="J30" s="212">
        <f t="shared" si="3"/>
        <v>2013</v>
      </c>
      <c r="K30" s="212">
        <f t="shared" si="3"/>
        <v>2014</v>
      </c>
      <c r="L30" s="212">
        <f t="shared" si="3"/>
        <v>2015</v>
      </c>
      <c r="M30" s="212">
        <f t="shared" si="3"/>
        <v>2016</v>
      </c>
      <c r="N30" s="212">
        <f t="shared" si="3"/>
        <v>2017</v>
      </c>
      <c r="O30" s="212">
        <f t="shared" si="3"/>
        <v>2018</v>
      </c>
      <c r="P30" s="212">
        <f t="shared" ref="P30:R30" si="4">O30+1</f>
        <v>2019</v>
      </c>
      <c r="Q30" s="212">
        <f t="shared" si="4"/>
        <v>2020</v>
      </c>
      <c r="R30" s="899">
        <f t="shared" si="4"/>
        <v>2021</v>
      </c>
      <c r="S30" s="517"/>
      <c r="T30" s="517"/>
      <c r="U30" s="517"/>
      <c r="V30" s="517"/>
      <c r="W30" s="517"/>
      <c r="X30" s="517"/>
      <c r="Y30" s="517"/>
      <c r="Z30" s="50"/>
      <c r="AA30" s="50"/>
      <c r="AB30" s="50"/>
      <c r="AC30" s="50"/>
      <c r="AD30" s="50"/>
      <c r="AE30" s="50"/>
      <c r="AF30" s="98"/>
      <c r="AG30" s="98"/>
      <c r="AH30" s="98"/>
      <c r="AI30" s="98"/>
      <c r="AJ30" s="98"/>
      <c r="AK30" s="98"/>
    </row>
    <row r="31" spans="1:37" ht="12.75" customHeight="1" x14ac:dyDescent="0.25">
      <c r="A31" s="284"/>
      <c r="B31" s="376"/>
      <c r="C31" s="243" t="s">
        <v>298</v>
      </c>
      <c r="D31" s="11"/>
      <c r="E31" s="16"/>
      <c r="F31" s="16"/>
      <c r="G31" s="16"/>
      <c r="H31" s="16"/>
      <c r="I31" s="12">
        <f>Sales!J63</f>
        <v>8.2203267499372927</v>
      </c>
      <c r="J31" s="12">
        <f>Sales!K63</f>
        <v>62.30738738904067</v>
      </c>
      <c r="K31" s="12">
        <f>Sales!L63</f>
        <v>194.82559782460572</v>
      </c>
      <c r="L31" s="12">
        <f>Sales!M63</f>
        <v>361.32643566716024</v>
      </c>
      <c r="M31" s="12">
        <f>Sales!N63</f>
        <v>496.1744289601786</v>
      </c>
      <c r="N31" s="12">
        <f>Sales!O63</f>
        <v>616.95563588527887</v>
      </c>
      <c r="O31" s="12">
        <f>Sales!P63</f>
        <v>729.48706355024808</v>
      </c>
      <c r="P31" s="12">
        <f>Sales!Q63</f>
        <v>833.80096811497174</v>
      </c>
      <c r="Q31" s="12">
        <f>Sales!R63</f>
        <v>937.77717952693752</v>
      </c>
      <c r="R31" s="795">
        <f>Sales!S63</f>
        <v>999.53952746793209</v>
      </c>
      <c r="S31" s="12"/>
      <c r="T31" s="12"/>
      <c r="U31" s="12"/>
      <c r="V31" s="12"/>
      <c r="W31" s="12"/>
      <c r="X31" s="12"/>
      <c r="Y31" s="762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</row>
    <row r="32" spans="1:37" ht="12.75" customHeight="1" x14ac:dyDescent="0.2">
      <c r="A32" s="284"/>
      <c r="B32" s="10" t="s">
        <v>173</v>
      </c>
      <c r="C32" s="11"/>
      <c r="D32" s="11"/>
      <c r="E32" s="12"/>
      <c r="F32" s="12"/>
      <c r="G32" s="12"/>
      <c r="H32" s="12"/>
      <c r="I32" s="12"/>
      <c r="J32" s="12"/>
      <c r="K32" s="270"/>
      <c r="L32" s="12"/>
      <c r="M32" s="12"/>
      <c r="N32" s="12"/>
      <c r="O32" s="12"/>
      <c r="P32" s="12"/>
      <c r="Q32" s="12"/>
      <c r="R32" s="795"/>
      <c r="S32" s="12"/>
      <c r="T32" s="12"/>
      <c r="U32" s="12"/>
      <c r="V32" s="12"/>
      <c r="W32" s="12"/>
      <c r="X32" s="12"/>
      <c r="Y32" s="762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</row>
    <row r="33" spans="1:37" ht="12.75" customHeight="1" x14ac:dyDescent="0.25">
      <c r="A33" s="284"/>
      <c r="B33" s="376"/>
      <c r="C33" s="243" t="s">
        <v>317</v>
      </c>
      <c r="D33" s="433" t="s">
        <v>231</v>
      </c>
      <c r="E33" s="377"/>
      <c r="F33" s="377"/>
      <c r="G33" s="377"/>
      <c r="H33" s="377"/>
      <c r="I33" s="12">
        <f>IF(Sales!J70&gt;0,COG!$G$25,COG!$K$25)</f>
        <v>400.26388888888891</v>
      </c>
      <c r="J33" s="12">
        <f>IF(Sales!K70&gt;0,COG!$G$25,COG!$K$25)</f>
        <v>400.26388888888891</v>
      </c>
      <c r="K33" s="12">
        <f>IF(Sales!L70&gt;0,COG!$G$25,COG!$K$25)</f>
        <v>400.26388888888891</v>
      </c>
      <c r="L33" s="12">
        <f>IF(Sales!M70&gt;0,COG!$G$25,COG!$K$25)</f>
        <v>272.48611111111109</v>
      </c>
      <c r="M33" s="12">
        <f>IF(Sales!N70&gt;0,COG!$G$25,COG!$K$25)</f>
        <v>272.48611111111109</v>
      </c>
      <c r="N33" s="12">
        <f>IF(Sales!O70&gt;0,COG!$G$25,COG!$K$25)</f>
        <v>272.48611111111109</v>
      </c>
      <c r="O33" s="12">
        <f>IF(Sales!P70&gt;0,COG!$G$25,COG!$K$25)</f>
        <v>272.48611111111109</v>
      </c>
      <c r="P33" s="12">
        <f>IF(Sales!Q70&gt;0,COG!$G$25,COG!$K$25)</f>
        <v>272.48611111111109</v>
      </c>
      <c r="Q33" s="12">
        <f>IF(Sales!R70&gt;0,COG!$G$25,COG!$K$25)</f>
        <v>272.48611111111109</v>
      </c>
      <c r="R33" s="795">
        <f>IF(Sales!S70&gt;0,COG!$G$25,COG!$K$25)</f>
        <v>272.48611111111109</v>
      </c>
      <c r="S33" s="12"/>
      <c r="T33" s="12"/>
      <c r="U33" s="12"/>
      <c r="V33" s="12"/>
      <c r="W33" s="12"/>
      <c r="X33" s="12"/>
      <c r="Y33" s="762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</row>
    <row r="34" spans="1:37" ht="12.75" customHeight="1" x14ac:dyDescent="0.25">
      <c r="A34" s="284"/>
      <c r="B34" s="376"/>
      <c r="C34" s="11" t="s">
        <v>44</v>
      </c>
      <c r="D34" s="242" t="s">
        <v>243</v>
      </c>
      <c r="E34" s="12"/>
      <c r="F34" s="12"/>
      <c r="G34" s="12"/>
      <c r="H34" s="16"/>
      <c r="I34" s="12">
        <f t="shared" ref="I34:R34" si="5">I31*I33/1000</f>
        <v>3.2902999528672616</v>
      </c>
      <c r="J34" s="12">
        <f t="shared" si="5"/>
        <v>24.939397182843933</v>
      </c>
      <c r="K34" s="12">
        <f t="shared" si="5"/>
        <v>77.981651440379338</v>
      </c>
      <c r="L34" s="12">
        <f t="shared" si="5"/>
        <v>98.456435296583564</v>
      </c>
      <c r="M34" s="12">
        <f t="shared" si="5"/>
        <v>135.20064058013531</v>
      </c>
      <c r="N34" s="12">
        <f t="shared" si="5"/>
        <v>168.11184195046229</v>
      </c>
      <c r="O34" s="12">
        <f t="shared" si="5"/>
        <v>198.77509305267105</v>
      </c>
      <c r="P34" s="12">
        <f t="shared" si="5"/>
        <v>227.19918324232816</v>
      </c>
      <c r="Q34" s="12">
        <f t="shared" si="5"/>
        <v>255.53125673804146</v>
      </c>
      <c r="R34" s="795">
        <f t="shared" si="5"/>
        <v>272.36063874157441</v>
      </c>
      <c r="S34" s="12"/>
      <c r="T34" s="12"/>
      <c r="U34" s="12"/>
      <c r="V34" s="12"/>
      <c r="W34" s="12"/>
      <c r="X34" s="12"/>
      <c r="Y34" s="762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</row>
    <row r="35" spans="1:37" ht="12.75" customHeight="1" x14ac:dyDescent="0.2">
      <c r="A35" s="284"/>
      <c r="B35" s="10" t="s">
        <v>174</v>
      </c>
      <c r="C35" s="11"/>
      <c r="D35" s="200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795"/>
      <c r="S35" s="12"/>
      <c r="T35" s="12"/>
      <c r="U35" s="12"/>
      <c r="V35" s="12"/>
      <c r="W35" s="12"/>
      <c r="X35" s="12"/>
      <c r="Y35" s="762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</row>
    <row r="36" spans="1:37" ht="12.75" customHeight="1" x14ac:dyDescent="0.2">
      <c r="A36" s="284"/>
      <c r="B36" s="11"/>
      <c r="C36" s="10" t="s">
        <v>244</v>
      </c>
      <c r="D36" s="11"/>
      <c r="E36" s="517"/>
      <c r="F36" s="517"/>
      <c r="G36" s="517"/>
      <c r="H36" s="517"/>
      <c r="I36" s="517"/>
      <c r="J36" s="517"/>
      <c r="K36" s="517"/>
      <c r="L36" s="517"/>
      <c r="M36" s="517"/>
      <c r="N36" s="517"/>
      <c r="O36" s="517"/>
      <c r="P36" s="517"/>
      <c r="Q36" s="517"/>
      <c r="R36" s="214"/>
      <c r="S36" s="517"/>
      <c r="T36" s="517"/>
      <c r="U36" s="517"/>
      <c r="V36" s="517"/>
      <c r="W36" s="517"/>
      <c r="X36" s="517"/>
      <c r="Y36" s="762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</row>
    <row r="37" spans="1:37" ht="12.75" customHeight="1" x14ac:dyDescent="0.2">
      <c r="A37" s="284"/>
      <c r="B37" s="11"/>
      <c r="C37" s="243" t="s">
        <v>316</v>
      </c>
      <c r="D37" s="242" t="s">
        <v>231</v>
      </c>
      <c r="E37" s="66"/>
      <c r="F37" s="66"/>
      <c r="G37" s="66"/>
      <c r="H37" s="66"/>
      <c r="I37" s="12">
        <f>$S$25</f>
        <v>284.64927791134244</v>
      </c>
      <c r="J37" s="12">
        <f>$S$25</f>
        <v>284.64927791134244</v>
      </c>
      <c r="K37" s="12">
        <f t="shared" ref="K37:R37" si="6">$S$25</f>
        <v>284.64927791134244</v>
      </c>
      <c r="L37" s="12">
        <f t="shared" si="6"/>
        <v>284.64927791134244</v>
      </c>
      <c r="M37" s="12">
        <f t="shared" si="6"/>
        <v>284.64927791134244</v>
      </c>
      <c r="N37" s="12">
        <f t="shared" si="6"/>
        <v>284.64927791134244</v>
      </c>
      <c r="O37" s="12">
        <f t="shared" si="6"/>
        <v>284.64927791134244</v>
      </c>
      <c r="P37" s="12">
        <f t="shared" si="6"/>
        <v>284.64927791134244</v>
      </c>
      <c r="Q37" s="12">
        <f t="shared" si="6"/>
        <v>284.64927791134244</v>
      </c>
      <c r="R37" s="795">
        <f t="shared" si="6"/>
        <v>284.64927791134244</v>
      </c>
      <c r="S37" s="12"/>
      <c r="T37" s="12"/>
      <c r="U37" s="12"/>
      <c r="V37" s="12"/>
      <c r="W37" s="12"/>
      <c r="X37" s="12"/>
      <c r="Y37" s="92"/>
      <c r="Z37" s="85"/>
      <c r="AA37" s="99"/>
      <c r="AB37" s="99"/>
      <c r="AC37" s="99"/>
      <c r="AD37" s="99"/>
      <c r="AE37" s="99"/>
      <c r="AF37" s="99"/>
      <c r="AG37" s="99"/>
      <c r="AH37" s="99"/>
      <c r="AI37" s="99"/>
      <c r="AJ37" s="99"/>
      <c r="AK37" s="99"/>
    </row>
    <row r="38" spans="1:37" ht="12.75" customHeight="1" x14ac:dyDescent="0.2">
      <c r="A38" s="284"/>
      <c r="B38" s="11"/>
      <c r="C38" s="11" t="s">
        <v>44</v>
      </c>
      <c r="D38" s="242" t="s">
        <v>243</v>
      </c>
      <c r="E38" s="163"/>
      <c r="F38" s="163"/>
      <c r="G38" s="163"/>
      <c r="H38" s="163">
        <f>H37*H31</f>
        <v>0</v>
      </c>
      <c r="I38" s="166">
        <f t="shared" ref="I38:R38" si="7">I37*I31/1000</f>
        <v>2.3399100735649427</v>
      </c>
      <c r="J38" s="166">
        <f t="shared" si="7"/>
        <v>17.735752828832712</v>
      </c>
      <c r="K38" s="166">
        <f t="shared" si="7"/>
        <v>55.456965739419623</v>
      </c>
      <c r="L38" s="166">
        <f t="shared" si="7"/>
        <v>102.85130900293629</v>
      </c>
      <c r="M38" s="166">
        <f t="shared" si="7"/>
        <v>141.23569292158751</v>
      </c>
      <c r="N38" s="166">
        <f t="shared" si="7"/>
        <v>175.61597625807775</v>
      </c>
      <c r="O38" s="166">
        <f t="shared" si="7"/>
        <v>207.64796588524371</v>
      </c>
      <c r="P38" s="166">
        <f t="shared" si="7"/>
        <v>237.34084349570497</v>
      </c>
      <c r="Q38" s="166">
        <f t="shared" si="7"/>
        <v>266.93759699407809</v>
      </c>
      <c r="R38" s="952">
        <f t="shared" si="7"/>
        <v>284.5182047375913</v>
      </c>
      <c r="S38" s="12"/>
      <c r="T38" s="12"/>
      <c r="U38" s="12"/>
      <c r="V38" s="12"/>
      <c r="W38" s="12"/>
      <c r="X38" s="12"/>
      <c r="Y38" s="92"/>
      <c r="Z38" s="85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</row>
    <row r="39" spans="1:37" ht="12.75" customHeight="1" x14ac:dyDescent="0.2">
      <c r="A39" s="284"/>
      <c r="B39" s="14"/>
      <c r="C39" s="14" t="s">
        <v>115</v>
      </c>
      <c r="D39" s="242" t="s">
        <v>243</v>
      </c>
      <c r="E39" s="378"/>
      <c r="F39" s="379"/>
      <c r="G39" s="378"/>
      <c r="H39" s="378">
        <f>H34-H38</f>
        <v>0</v>
      </c>
      <c r="I39" s="139">
        <f t="shared" ref="I39" si="8">I34-I38</f>
        <v>0.95038987930231889</v>
      </c>
      <c r="J39" s="12">
        <f>J34-J38</f>
        <v>7.2036443540112209</v>
      </c>
      <c r="K39" s="12">
        <f t="shared" ref="K39:R39" si="9">K34-K38</f>
        <v>22.524685700959715</v>
      </c>
      <c r="L39" s="12">
        <f t="shared" si="9"/>
        <v>-4.3948737063527261</v>
      </c>
      <c r="M39" s="12">
        <f t="shared" si="9"/>
        <v>-6.0350523414522002</v>
      </c>
      <c r="N39" s="12">
        <f t="shared" si="9"/>
        <v>-7.504134307615459</v>
      </c>
      <c r="O39" s="12">
        <f t="shared" si="9"/>
        <v>-8.8728728325726536</v>
      </c>
      <c r="P39" s="12">
        <f t="shared" si="9"/>
        <v>-10.141660253376813</v>
      </c>
      <c r="Q39" s="12">
        <f t="shared" si="9"/>
        <v>-11.406340256036628</v>
      </c>
      <c r="R39" s="795">
        <f t="shared" si="9"/>
        <v>-12.157565996016899</v>
      </c>
      <c r="S39" s="12"/>
      <c r="T39" s="12"/>
      <c r="U39" s="12"/>
      <c r="V39" s="12"/>
      <c r="W39" s="12"/>
      <c r="X39" s="12"/>
      <c r="Y39" s="763"/>
      <c r="Z39" s="85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</row>
    <row r="40" spans="1:37" ht="12.75" customHeight="1" x14ac:dyDescent="0.2">
      <c r="A40" s="284"/>
      <c r="B40" s="14"/>
      <c r="C40" s="11" t="s">
        <v>114</v>
      </c>
      <c r="D40" s="242" t="s">
        <v>243</v>
      </c>
      <c r="E40" s="146"/>
      <c r="F40" s="147"/>
      <c r="G40" s="148">
        <f>-Q24</f>
        <v>-15</v>
      </c>
      <c r="H40" s="148"/>
      <c r="I40" s="149"/>
      <c r="J40" s="146"/>
      <c r="K40" s="146"/>
      <c r="L40" s="146"/>
      <c r="M40" s="146"/>
      <c r="N40" s="146"/>
      <c r="O40" s="146"/>
      <c r="P40" s="146"/>
      <c r="Q40" s="146"/>
      <c r="R40" s="953"/>
      <c r="S40" s="378"/>
      <c r="T40" s="378"/>
      <c r="U40" s="378"/>
      <c r="V40" s="378"/>
      <c r="W40" s="378"/>
      <c r="X40" s="378"/>
      <c r="Y40" s="92"/>
      <c r="Z40" s="8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</row>
    <row r="41" spans="1:37" ht="12.75" customHeight="1" thickBot="1" x14ac:dyDescent="0.25">
      <c r="A41" s="284"/>
      <c r="B41" s="14"/>
      <c r="C41" s="11" t="s">
        <v>10</v>
      </c>
      <c r="D41" s="11"/>
      <c r="E41" s="150">
        <f t="shared" ref="E41:O41" si="10">E39+E40</f>
        <v>0</v>
      </c>
      <c r="F41" s="150">
        <f t="shared" si="10"/>
        <v>0</v>
      </c>
      <c r="G41" s="150">
        <f t="shared" si="10"/>
        <v>-15</v>
      </c>
      <c r="H41" s="150">
        <f t="shared" si="10"/>
        <v>0</v>
      </c>
      <c r="I41" s="150">
        <f t="shared" si="10"/>
        <v>0.95038987930231889</v>
      </c>
      <c r="J41" s="446">
        <f t="shared" si="10"/>
        <v>7.2036443540112209</v>
      </c>
      <c r="K41" s="446">
        <f t="shared" si="10"/>
        <v>22.524685700959715</v>
      </c>
      <c r="L41" s="446">
        <f t="shared" si="10"/>
        <v>-4.3948737063527261</v>
      </c>
      <c r="M41" s="446">
        <f t="shared" si="10"/>
        <v>-6.0350523414522002</v>
      </c>
      <c r="N41" s="446">
        <f t="shared" si="10"/>
        <v>-7.504134307615459</v>
      </c>
      <c r="O41" s="446">
        <f t="shared" si="10"/>
        <v>-8.8728728325726536</v>
      </c>
      <c r="P41" s="446">
        <f t="shared" ref="P41:R41" si="11">P39+P40</f>
        <v>-10.141660253376813</v>
      </c>
      <c r="Q41" s="446">
        <f t="shared" si="11"/>
        <v>-11.406340256036628</v>
      </c>
      <c r="R41" s="954">
        <f t="shared" si="11"/>
        <v>-12.157565996016899</v>
      </c>
      <c r="S41" s="180"/>
      <c r="T41" s="180"/>
      <c r="U41" s="180"/>
      <c r="V41" s="180"/>
      <c r="W41" s="180"/>
      <c r="X41" s="180"/>
      <c r="Y41" s="92"/>
      <c r="Z41" s="88"/>
      <c r="AA41" s="120"/>
      <c r="AB41" s="99"/>
      <c r="AC41" s="99"/>
      <c r="AD41" s="99"/>
      <c r="AE41" s="99"/>
      <c r="AF41" s="99"/>
      <c r="AG41" s="99"/>
      <c r="AH41" s="99"/>
      <c r="AI41" s="99"/>
      <c r="AJ41" s="99"/>
      <c r="AK41" s="99"/>
    </row>
    <row r="42" spans="1:37" ht="12.75" customHeight="1" thickTop="1" x14ac:dyDescent="0.2">
      <c r="A42" s="284"/>
      <c r="B42" s="14"/>
      <c r="C42" s="11" t="s">
        <v>2</v>
      </c>
      <c r="D42" s="701">
        <f>Control!G45</f>
        <v>0.12</v>
      </c>
      <c r="E42" s="380" t="s">
        <v>2</v>
      </c>
      <c r="F42" s="187">
        <f>NPV(D42,H41:R41)+G41</f>
        <v>-18.154237114696663</v>
      </c>
      <c r="G42" s="380" t="s">
        <v>32</v>
      </c>
      <c r="H42" s="381" t="e">
        <f>IRR(G41:R41)</f>
        <v>#NUM!</v>
      </c>
      <c r="I42" s="298"/>
      <c r="J42" s="11"/>
      <c r="K42" s="11"/>
      <c r="L42" s="298"/>
      <c r="M42" s="11"/>
      <c r="N42" s="11"/>
      <c r="O42" s="11"/>
      <c r="P42" s="11"/>
      <c r="Q42" s="11"/>
      <c r="R42" s="289"/>
      <c r="S42" s="11"/>
      <c r="T42" s="11"/>
      <c r="U42" s="11"/>
      <c r="V42" s="11"/>
      <c r="W42" s="11"/>
      <c r="X42" s="11"/>
      <c r="Y42" s="11"/>
    </row>
    <row r="43" spans="1:37" ht="12.75" customHeight="1" x14ac:dyDescent="0.2">
      <c r="A43" s="284"/>
      <c r="B43" s="11"/>
      <c r="C43" s="10" t="s">
        <v>245</v>
      </c>
      <c r="D43" s="200"/>
      <c r="E43" s="11"/>
      <c r="F43" s="298"/>
      <c r="G43" s="11"/>
      <c r="H43" s="382"/>
      <c r="I43" s="298"/>
      <c r="J43" s="11"/>
      <c r="K43" s="11"/>
      <c r="L43" s="298"/>
      <c r="M43" s="11"/>
      <c r="N43" s="11"/>
      <c r="O43" s="11"/>
      <c r="P43" s="11"/>
      <c r="Q43" s="11"/>
      <c r="R43" s="289"/>
      <c r="S43" s="11"/>
      <c r="T43" s="11"/>
      <c r="U43" s="11"/>
      <c r="V43" s="11"/>
      <c r="W43" s="11"/>
      <c r="X43" s="11"/>
      <c r="Y43" s="762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</row>
    <row r="44" spans="1:37" ht="12.75" customHeight="1" x14ac:dyDescent="0.2">
      <c r="A44" s="284"/>
      <c r="B44" s="10"/>
      <c r="C44" s="243" t="s">
        <v>316</v>
      </c>
      <c r="D44" s="242" t="s">
        <v>231</v>
      </c>
      <c r="E44" s="66"/>
      <c r="F44" s="66"/>
      <c r="G44" s="66"/>
      <c r="H44" s="66"/>
      <c r="I44" s="12">
        <f>$W$25</f>
        <v>193.37727957013544</v>
      </c>
      <c r="J44" s="12">
        <f>$W$25</f>
        <v>193.37727957013544</v>
      </c>
      <c r="K44" s="12">
        <f t="shared" ref="K44:R44" si="12">$W$25</f>
        <v>193.37727957013544</v>
      </c>
      <c r="L44" s="12">
        <f t="shared" si="12"/>
        <v>193.37727957013544</v>
      </c>
      <c r="M44" s="12">
        <f t="shared" si="12"/>
        <v>193.37727957013544</v>
      </c>
      <c r="N44" s="12">
        <f t="shared" si="12"/>
        <v>193.37727957013544</v>
      </c>
      <c r="O44" s="12">
        <f t="shared" si="12"/>
        <v>193.37727957013544</v>
      </c>
      <c r="P44" s="12">
        <f t="shared" si="12"/>
        <v>193.37727957013544</v>
      </c>
      <c r="Q44" s="12">
        <f t="shared" si="12"/>
        <v>193.37727957013544</v>
      </c>
      <c r="R44" s="795">
        <f t="shared" si="12"/>
        <v>193.37727957013544</v>
      </c>
      <c r="S44" s="12"/>
      <c r="T44" s="12"/>
      <c r="U44" s="12"/>
      <c r="V44" s="12"/>
      <c r="W44" s="12"/>
      <c r="X44" s="12"/>
      <c r="Y44" s="762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</row>
    <row r="45" spans="1:37" ht="12.75" customHeight="1" x14ac:dyDescent="0.2">
      <c r="A45" s="284"/>
      <c r="B45" s="10"/>
      <c r="C45" s="11" t="s">
        <v>44</v>
      </c>
      <c r="D45" s="242" t="s">
        <v>243</v>
      </c>
      <c r="E45" s="21"/>
      <c r="F45" s="186"/>
      <c r="G45" s="21"/>
      <c r="H45" s="163">
        <f t="shared" ref="H45:R45" si="13">H44*H31/1000</f>
        <v>0</v>
      </c>
      <c r="I45" s="166">
        <f t="shared" si="13"/>
        <v>1.5896244240804867</v>
      </c>
      <c r="J45" s="166">
        <f t="shared" si="13"/>
        <v>12.048833070415249</v>
      </c>
      <c r="K45" s="166">
        <f t="shared" si="13"/>
        <v>37.674844097947549</v>
      </c>
      <c r="L45" s="166">
        <f t="shared" si="13"/>
        <v>69.872323166089004</v>
      </c>
      <c r="M45" s="166">
        <f t="shared" si="13"/>
        <v>95.948861264584764</v>
      </c>
      <c r="N45" s="166">
        <f t="shared" si="13"/>
        <v>119.30520248295825</v>
      </c>
      <c r="O45" s="166">
        <f t="shared" si="13"/>
        <v>141.06622383095348</v>
      </c>
      <c r="P45" s="166">
        <f t="shared" si="13"/>
        <v>161.23816291701849</v>
      </c>
      <c r="Q45" s="166">
        <f t="shared" si="13"/>
        <v>181.34479981987371</v>
      </c>
      <c r="R45" s="952">
        <f t="shared" si="13"/>
        <v>193.28823464456738</v>
      </c>
      <c r="S45" s="12"/>
      <c r="T45" s="12"/>
      <c r="U45" s="12"/>
      <c r="V45" s="12"/>
      <c r="W45" s="12"/>
      <c r="X45" s="12"/>
      <c r="Y45" s="762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</row>
    <row r="46" spans="1:37" ht="12.75" customHeight="1" x14ac:dyDescent="0.2">
      <c r="A46" s="284"/>
      <c r="B46" s="14"/>
      <c r="C46" s="14" t="s">
        <v>115</v>
      </c>
      <c r="D46" s="242" t="s">
        <v>243</v>
      </c>
      <c r="E46" s="378"/>
      <c r="F46" s="379"/>
      <c r="G46" s="378"/>
      <c r="H46" s="12">
        <f t="shared" ref="H46:I46" si="14">H34-H45</f>
        <v>0</v>
      </c>
      <c r="I46" s="12">
        <f t="shared" si="14"/>
        <v>1.700675528786775</v>
      </c>
      <c r="J46" s="12">
        <f>J34-J45</f>
        <v>12.890564112428684</v>
      </c>
      <c r="K46" s="12">
        <f t="shared" ref="K46:R46" si="15">K34-K45</f>
        <v>40.306807342431789</v>
      </c>
      <c r="L46" s="12">
        <f t="shared" si="15"/>
        <v>28.58411213049456</v>
      </c>
      <c r="M46" s="12">
        <f t="shared" si="15"/>
        <v>39.25177931555055</v>
      </c>
      <c r="N46" s="12">
        <f t="shared" si="15"/>
        <v>48.806639467504041</v>
      </c>
      <c r="O46" s="12">
        <f t="shared" si="15"/>
        <v>57.708869221717578</v>
      </c>
      <c r="P46" s="12">
        <f t="shared" si="15"/>
        <v>65.961020325309676</v>
      </c>
      <c r="Q46" s="12">
        <f t="shared" si="15"/>
        <v>74.18645691816775</v>
      </c>
      <c r="R46" s="795">
        <f t="shared" si="15"/>
        <v>79.072404097007023</v>
      </c>
      <c r="S46" s="12"/>
      <c r="T46" s="12"/>
      <c r="U46" s="12"/>
      <c r="V46" s="12"/>
      <c r="W46" s="12"/>
      <c r="X46" s="12"/>
      <c r="Y46" s="92"/>
      <c r="Z46" s="85"/>
      <c r="AA46" s="85"/>
      <c r="AB46" s="98"/>
      <c r="AC46" s="98"/>
      <c r="AD46" s="98"/>
      <c r="AE46" s="98"/>
      <c r="AF46" s="98"/>
      <c r="AG46" s="98"/>
      <c r="AH46" s="98"/>
      <c r="AI46" s="98"/>
      <c r="AJ46" s="98"/>
      <c r="AK46" s="98"/>
    </row>
    <row r="47" spans="1:37" ht="12.75" customHeight="1" x14ac:dyDescent="0.2">
      <c r="A47" s="284"/>
      <c r="B47" s="14"/>
      <c r="C47" s="11" t="s">
        <v>114</v>
      </c>
      <c r="D47" s="242" t="s">
        <v>243</v>
      </c>
      <c r="E47" s="146"/>
      <c r="F47" s="147"/>
      <c r="G47" s="148">
        <f>-U24</f>
        <v>-30</v>
      </c>
      <c r="H47" s="148"/>
      <c r="I47" s="149"/>
      <c r="J47" s="146"/>
      <c r="K47" s="146"/>
      <c r="L47" s="146"/>
      <c r="M47" s="146"/>
      <c r="N47" s="146"/>
      <c r="O47" s="146"/>
      <c r="P47" s="146"/>
      <c r="Q47" s="146"/>
      <c r="R47" s="953"/>
      <c r="S47" s="378"/>
      <c r="T47" s="378"/>
      <c r="U47" s="378"/>
      <c r="V47" s="378"/>
      <c r="W47" s="378"/>
      <c r="X47" s="378"/>
      <c r="Y47" s="92"/>
      <c r="Z47" s="85"/>
      <c r="AA47" s="85"/>
      <c r="AB47" s="99"/>
      <c r="AC47" s="99"/>
      <c r="AD47" s="99"/>
      <c r="AE47" s="99"/>
      <c r="AF47" s="99"/>
      <c r="AG47" s="99"/>
      <c r="AH47" s="99"/>
      <c r="AI47" s="99"/>
      <c r="AJ47" s="99"/>
      <c r="AK47" s="99"/>
    </row>
    <row r="48" spans="1:37" ht="12.75" customHeight="1" thickBot="1" x14ac:dyDescent="0.25">
      <c r="A48" s="284"/>
      <c r="B48" s="14"/>
      <c r="C48" s="11" t="s">
        <v>10</v>
      </c>
      <c r="D48" s="11"/>
      <c r="E48" s="150">
        <f t="shared" ref="E48:O48" si="16">E46+E47</f>
        <v>0</v>
      </c>
      <c r="F48" s="150">
        <f t="shared" si="16"/>
        <v>0</v>
      </c>
      <c r="G48" s="150">
        <f t="shared" si="16"/>
        <v>-30</v>
      </c>
      <c r="H48" s="150">
        <f t="shared" si="16"/>
        <v>0</v>
      </c>
      <c r="I48" s="150">
        <f t="shared" si="16"/>
        <v>1.700675528786775</v>
      </c>
      <c r="J48" s="446">
        <f t="shared" si="16"/>
        <v>12.890564112428684</v>
      </c>
      <c r="K48" s="446">
        <f t="shared" si="16"/>
        <v>40.306807342431789</v>
      </c>
      <c r="L48" s="446">
        <f t="shared" si="16"/>
        <v>28.58411213049456</v>
      </c>
      <c r="M48" s="446">
        <f t="shared" si="16"/>
        <v>39.25177931555055</v>
      </c>
      <c r="N48" s="446">
        <f t="shared" si="16"/>
        <v>48.806639467504041</v>
      </c>
      <c r="O48" s="446">
        <f t="shared" si="16"/>
        <v>57.708869221717578</v>
      </c>
      <c r="P48" s="446">
        <f t="shared" ref="P48:R48" si="17">P46+P47</f>
        <v>65.961020325309676</v>
      </c>
      <c r="Q48" s="446">
        <f t="shared" si="17"/>
        <v>74.18645691816775</v>
      </c>
      <c r="R48" s="954">
        <f t="shared" si="17"/>
        <v>79.072404097007023</v>
      </c>
      <c r="S48" s="180"/>
      <c r="T48" s="180"/>
      <c r="U48" s="180"/>
      <c r="V48" s="180"/>
      <c r="W48" s="180"/>
      <c r="X48" s="180"/>
      <c r="Y48" s="763"/>
      <c r="Z48" s="85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</row>
    <row r="49" spans="1:37" ht="12.75" customHeight="1" thickTop="1" x14ac:dyDescent="0.2">
      <c r="A49" s="290"/>
      <c r="B49" s="267"/>
      <c r="C49" s="21" t="s">
        <v>2</v>
      </c>
      <c r="D49" s="703">
        <f>Control!G45</f>
        <v>0.12</v>
      </c>
      <c r="E49" s="179" t="s">
        <v>2</v>
      </c>
      <c r="F49" s="339">
        <f>NPV(D49,H48:R48)+G48</f>
        <v>158.04126257375947</v>
      </c>
      <c r="G49" s="179" t="s">
        <v>32</v>
      </c>
      <c r="H49" s="383">
        <f>IRR(G48:O48)</f>
        <v>0.44429912875041055</v>
      </c>
      <c r="I49" s="186"/>
      <c r="J49" s="21"/>
      <c r="K49" s="21"/>
      <c r="L49" s="186"/>
      <c r="M49" s="21"/>
      <c r="N49" s="21"/>
      <c r="O49" s="21"/>
      <c r="P49" s="21"/>
      <c r="Q49" s="21"/>
      <c r="R49" s="295"/>
      <c r="S49" s="11"/>
      <c r="T49" s="11"/>
      <c r="U49" s="92"/>
      <c r="V49" s="92"/>
      <c r="W49" s="764"/>
      <c r="X49" s="92"/>
      <c r="Y49" s="92"/>
      <c r="Z49" s="88"/>
      <c r="AA49" s="98"/>
      <c r="AB49" s="98"/>
      <c r="AC49" s="98"/>
      <c r="AD49" s="98"/>
      <c r="AE49" s="98"/>
      <c r="AF49" s="98"/>
      <c r="AG49" s="98"/>
      <c r="AH49" s="98"/>
      <c r="AI49" s="98"/>
      <c r="AJ49" s="98"/>
      <c r="AK49" s="98"/>
    </row>
    <row r="50" spans="1:37" ht="12.75" customHeight="1" x14ac:dyDescent="0.2">
      <c r="S50" s="11"/>
      <c r="T50" s="11"/>
      <c r="U50" s="92"/>
      <c r="V50" s="92"/>
      <c r="W50" s="764"/>
      <c r="X50" s="92"/>
      <c r="Y50" s="92"/>
      <c r="Z50" s="88"/>
      <c r="AA50" s="120"/>
      <c r="AB50" s="99"/>
      <c r="AC50" s="99"/>
      <c r="AD50" s="99"/>
      <c r="AE50" s="99"/>
      <c r="AF50" s="99"/>
      <c r="AG50" s="99"/>
      <c r="AH50" s="99"/>
      <c r="AI50" s="99"/>
      <c r="AJ50" s="99"/>
      <c r="AK50" s="99"/>
    </row>
    <row r="51" spans="1:37" ht="15.75" x14ac:dyDescent="0.25">
      <c r="A51" s="309" t="s">
        <v>98</v>
      </c>
      <c r="B51" s="384"/>
      <c r="C51" s="287"/>
      <c r="D51" s="287"/>
      <c r="E51" s="287"/>
      <c r="F51" s="287"/>
      <c r="G51" s="287"/>
      <c r="H51" s="287"/>
      <c r="I51" s="287"/>
      <c r="J51" s="287"/>
      <c r="K51" s="287"/>
      <c r="L51" s="392"/>
      <c r="M51" s="287"/>
      <c r="N51" s="287"/>
      <c r="O51" s="287"/>
      <c r="P51" s="287"/>
      <c r="Q51" s="287"/>
      <c r="R51" s="288"/>
      <c r="S51" s="11"/>
      <c r="T51" s="11"/>
      <c r="U51" s="11"/>
      <c r="V51" s="11"/>
      <c r="W51" s="11"/>
      <c r="X51" s="11"/>
      <c r="Y51" s="11"/>
    </row>
    <row r="52" spans="1:37" x14ac:dyDescent="0.2">
      <c r="A52" s="284"/>
      <c r="B52" s="19" t="s">
        <v>153</v>
      </c>
      <c r="C52" s="11"/>
      <c r="D52" s="11"/>
      <c r="E52" s="11"/>
      <c r="F52" s="447">
        <f>Control!I10</f>
        <v>0</v>
      </c>
      <c r="G52" s="11" t="s">
        <v>131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289"/>
      <c r="S52" s="11"/>
      <c r="T52" s="11"/>
      <c r="U52" s="11"/>
      <c r="V52" s="11"/>
      <c r="W52" s="11"/>
      <c r="X52" s="11"/>
      <c r="Y52" s="11"/>
      <c r="AB52" s="98"/>
    </row>
    <row r="53" spans="1:37" x14ac:dyDescent="0.2">
      <c r="A53" s="284"/>
      <c r="B53" s="19" t="s">
        <v>247</v>
      </c>
      <c r="C53" s="382"/>
      <c r="D53" s="11"/>
      <c r="E53" s="11"/>
      <c r="F53" s="447">
        <f>Control!I11</f>
        <v>30</v>
      </c>
      <c r="G53" s="14" t="s">
        <v>246</v>
      </c>
      <c r="H53" s="11"/>
      <c r="I53" s="11"/>
      <c r="J53" s="11"/>
      <c r="K53" s="124">
        <f>F52*F53</f>
        <v>0</v>
      </c>
      <c r="L53" s="11"/>
      <c r="M53" s="11"/>
      <c r="N53" s="11"/>
      <c r="O53" s="11"/>
      <c r="P53" s="11"/>
      <c r="Q53" s="11"/>
      <c r="R53" s="289"/>
      <c r="S53" s="11"/>
      <c r="T53" s="11"/>
      <c r="U53" s="11"/>
      <c r="V53" s="11"/>
      <c r="W53" s="11"/>
      <c r="X53" s="11"/>
      <c r="Y53" s="11"/>
    </row>
    <row r="54" spans="1:37" x14ac:dyDescent="0.2">
      <c r="A54" s="284"/>
      <c r="B54" s="19"/>
      <c r="C54" s="243" t="s">
        <v>298</v>
      </c>
      <c r="D54" s="243" t="s">
        <v>295</v>
      </c>
      <c r="E54" s="11"/>
      <c r="F54" s="11"/>
      <c r="G54" s="14"/>
      <c r="H54" s="11"/>
      <c r="I54" s="16">
        <f>Sales!J34</f>
        <v>8.2203267499372927</v>
      </c>
      <c r="J54" s="16">
        <f>Sales!K34</f>
        <v>45.124810797286429</v>
      </c>
      <c r="K54" s="16">
        <f>Sales!L34</f>
        <v>78.173789730175415</v>
      </c>
      <c r="L54" s="16">
        <f>Sales!M34</f>
        <v>132.32957168835293</v>
      </c>
      <c r="M54" s="16">
        <f>Sales!N34</f>
        <v>170.43335169599962</v>
      </c>
      <c r="N54" s="16">
        <f>Sales!O34</f>
        <v>206.22701970803331</v>
      </c>
      <c r="O54" s="16">
        <f>Sales!P34</f>
        <v>245.75428573263858</v>
      </c>
      <c r="P54" s="16">
        <f>Sales!Q34</f>
        <v>277.71841454308793</v>
      </c>
      <c r="Q54" s="16">
        <f>Sales!R34</f>
        <v>311.96529299458132</v>
      </c>
      <c r="R54" s="794">
        <f>Sales!S34</f>
        <v>335.18960207511867</v>
      </c>
      <c r="S54" s="16"/>
      <c r="T54" s="16"/>
      <c r="U54" s="16"/>
      <c r="V54" s="16"/>
      <c r="W54" s="16"/>
      <c r="X54" s="16"/>
      <c r="Y54" s="11"/>
    </row>
    <row r="55" spans="1:37" x14ac:dyDescent="0.2">
      <c r="A55" s="284"/>
      <c r="B55" s="19"/>
      <c r="C55" s="243" t="s">
        <v>298</v>
      </c>
      <c r="D55" s="243" t="s">
        <v>518</v>
      </c>
      <c r="E55" s="11"/>
      <c r="F55" s="11"/>
      <c r="G55" s="14"/>
      <c r="H55" s="11"/>
      <c r="I55" s="163">
        <f>Sales!J35</f>
        <v>0</v>
      </c>
      <c r="J55" s="163">
        <f>Sales!K35</f>
        <v>17.182576591754238</v>
      </c>
      <c r="K55" s="163">
        <f>Sales!L35</f>
        <v>116.65180809443034</v>
      </c>
      <c r="L55" s="163">
        <f>Sales!M35</f>
        <v>228.99686397880734</v>
      </c>
      <c r="M55" s="163">
        <f>Sales!N35</f>
        <v>325.74107726417901</v>
      </c>
      <c r="N55" s="163">
        <f>Sales!O35</f>
        <v>410.72861617724556</v>
      </c>
      <c r="O55" s="163">
        <f>Sales!P35</f>
        <v>483.73277781760959</v>
      </c>
      <c r="P55" s="163">
        <f>Sales!Q35</f>
        <v>556.08255357188386</v>
      </c>
      <c r="Q55" s="163">
        <f>Sales!R35</f>
        <v>625.8118865323562</v>
      </c>
      <c r="R55" s="955">
        <f>Sales!S35</f>
        <v>664.34992539281336</v>
      </c>
      <c r="S55" s="16"/>
      <c r="T55" s="16"/>
      <c r="U55" s="16"/>
      <c r="V55" s="16"/>
      <c r="W55" s="16"/>
      <c r="X55" s="16"/>
      <c r="Y55" s="11"/>
    </row>
    <row r="56" spans="1:37" x14ac:dyDescent="0.2">
      <c r="A56" s="284"/>
      <c r="B56" s="19"/>
      <c r="C56" s="11"/>
      <c r="D56" s="436" t="s">
        <v>4</v>
      </c>
      <c r="E56" s="16"/>
      <c r="F56" s="16"/>
      <c r="G56" s="16"/>
      <c r="H56" s="16"/>
      <c r="I56" s="16">
        <f>I54+I55</f>
        <v>8.2203267499372927</v>
      </c>
      <c r="J56" s="16">
        <f t="shared" ref="J56:R56" si="18">J54+J55</f>
        <v>62.30738738904067</v>
      </c>
      <c r="K56" s="16">
        <f t="shared" si="18"/>
        <v>194.82559782460575</v>
      </c>
      <c r="L56" s="16">
        <f t="shared" si="18"/>
        <v>361.32643566716024</v>
      </c>
      <c r="M56" s="16">
        <f t="shared" si="18"/>
        <v>496.1744289601786</v>
      </c>
      <c r="N56" s="16">
        <f t="shared" si="18"/>
        <v>616.95563588527887</v>
      </c>
      <c r="O56" s="16">
        <f t="shared" si="18"/>
        <v>729.48706355024819</v>
      </c>
      <c r="P56" s="16">
        <f t="shared" si="18"/>
        <v>833.80096811497174</v>
      </c>
      <c r="Q56" s="16">
        <f t="shared" si="18"/>
        <v>937.77717952693752</v>
      </c>
      <c r="R56" s="794">
        <f t="shared" si="18"/>
        <v>999.53952746793198</v>
      </c>
      <c r="S56" s="16"/>
      <c r="T56" s="16"/>
      <c r="U56" s="16"/>
      <c r="V56" s="16"/>
      <c r="W56" s="16"/>
      <c r="X56" s="16"/>
      <c r="Y56" s="11"/>
    </row>
    <row r="57" spans="1:37" x14ac:dyDescent="0.2">
      <c r="A57" s="284"/>
      <c r="B57" s="19"/>
      <c r="C57" s="747" t="s">
        <v>584</v>
      </c>
      <c r="D57" s="382"/>
      <c r="E57" s="382"/>
      <c r="F57" s="382"/>
      <c r="G57" s="14"/>
      <c r="H57" s="11"/>
      <c r="I57" s="52">
        <f t="shared" ref="I57:R57" si="19">I59/I56*1000</f>
        <v>400.26388888888886</v>
      </c>
      <c r="J57" s="52">
        <f t="shared" si="19"/>
        <v>400.26388888888891</v>
      </c>
      <c r="K57" s="52">
        <f t="shared" si="19"/>
        <v>400.2638888888888</v>
      </c>
      <c r="L57" s="52">
        <f t="shared" si="19"/>
        <v>272.48611111111109</v>
      </c>
      <c r="M57" s="52">
        <f t="shared" si="19"/>
        <v>272.48611111111109</v>
      </c>
      <c r="N57" s="52">
        <f t="shared" si="19"/>
        <v>272.48611111111109</v>
      </c>
      <c r="O57" s="52">
        <f t="shared" si="19"/>
        <v>272.48611111111103</v>
      </c>
      <c r="P57" s="52">
        <f t="shared" si="19"/>
        <v>272.48611111111103</v>
      </c>
      <c r="Q57" s="52">
        <f t="shared" si="19"/>
        <v>272.48611111111109</v>
      </c>
      <c r="R57" s="797">
        <f t="shared" si="19"/>
        <v>272.48611111111109</v>
      </c>
      <c r="S57" s="52"/>
      <c r="T57" s="52"/>
      <c r="U57" s="52"/>
      <c r="V57" s="52"/>
      <c r="W57" s="52"/>
      <c r="X57" s="52"/>
      <c r="Y57" s="11"/>
    </row>
    <row r="58" spans="1:37" x14ac:dyDescent="0.2">
      <c r="A58" s="284"/>
      <c r="B58" s="19"/>
      <c r="C58" s="747"/>
      <c r="D58" s="382"/>
      <c r="E58" s="382"/>
      <c r="F58" s="382"/>
      <c r="G58" s="14"/>
      <c r="H58" s="11"/>
      <c r="I58" s="52"/>
      <c r="J58" s="52"/>
      <c r="K58" s="52"/>
      <c r="L58" s="52"/>
      <c r="M58" s="52"/>
      <c r="N58" s="52"/>
      <c r="O58" s="52"/>
      <c r="P58" s="52"/>
      <c r="Q58" s="52"/>
      <c r="R58" s="797"/>
      <c r="S58" s="52"/>
      <c r="T58" s="52"/>
      <c r="U58" s="52"/>
      <c r="V58" s="52"/>
      <c r="W58" s="52"/>
      <c r="X58" s="52"/>
      <c r="Y58" s="11"/>
    </row>
    <row r="59" spans="1:37" x14ac:dyDescent="0.2">
      <c r="A59" s="284"/>
      <c r="B59" s="11"/>
      <c r="C59" s="10" t="s">
        <v>248</v>
      </c>
      <c r="D59" s="11"/>
      <c r="E59" s="16"/>
      <c r="F59" s="16"/>
      <c r="G59" s="16"/>
      <c r="H59" s="16"/>
      <c r="I59" s="17">
        <f t="shared" ref="I59:R59" si="20">IF($K$53=0,I34,IF($K$53=15,I38,IF($K$53=30,I45)))</f>
        <v>3.2902999528672616</v>
      </c>
      <c r="J59" s="17">
        <f t="shared" si="20"/>
        <v>24.939397182843933</v>
      </c>
      <c r="K59" s="17">
        <f t="shared" si="20"/>
        <v>77.981651440379338</v>
      </c>
      <c r="L59" s="17">
        <f t="shared" si="20"/>
        <v>98.456435296583564</v>
      </c>
      <c r="M59" s="17">
        <f t="shared" si="20"/>
        <v>135.20064058013531</v>
      </c>
      <c r="N59" s="17">
        <f t="shared" si="20"/>
        <v>168.11184195046229</v>
      </c>
      <c r="O59" s="17">
        <f t="shared" si="20"/>
        <v>198.77509305267105</v>
      </c>
      <c r="P59" s="17">
        <f t="shared" si="20"/>
        <v>227.19918324232816</v>
      </c>
      <c r="Q59" s="17">
        <f t="shared" si="20"/>
        <v>255.53125673804146</v>
      </c>
      <c r="R59" s="956">
        <f t="shared" si="20"/>
        <v>272.36063874157441</v>
      </c>
      <c r="S59" s="17"/>
      <c r="T59" s="17"/>
      <c r="U59" s="17"/>
      <c r="V59" s="17"/>
      <c r="W59" s="17"/>
      <c r="X59" s="17"/>
      <c r="Y59" s="11"/>
    </row>
    <row r="60" spans="1:37" x14ac:dyDescent="0.2">
      <c r="A60" s="284"/>
      <c r="B60" s="11"/>
      <c r="C60" s="10"/>
      <c r="D60" s="243" t="s">
        <v>295</v>
      </c>
      <c r="E60" s="16"/>
      <c r="F60" s="16"/>
      <c r="G60" s="16"/>
      <c r="H60" s="16"/>
      <c r="I60" s="118">
        <f t="shared" ref="I60:R60" si="21">I57*I54/1000</f>
        <v>3.2902999528672612</v>
      </c>
      <c r="J60" s="118">
        <f t="shared" si="21"/>
        <v>18.06183225509719</v>
      </c>
      <c r="K60" s="118">
        <f t="shared" si="21"/>
        <v>31.290145086582289</v>
      </c>
      <c r="L60" s="118">
        <f t="shared" si="21"/>
        <v>36.05797037435827</v>
      </c>
      <c r="M60" s="118">
        <f t="shared" si="21"/>
        <v>46.440721207275224</v>
      </c>
      <c r="N60" s="118">
        <f t="shared" si="21"/>
        <v>56.193998606276459</v>
      </c>
      <c r="O60" s="118">
        <f t="shared" si="21"/>
        <v>66.964629608175485</v>
      </c>
      <c r="P60" s="118">
        <f t="shared" si="21"/>
        <v>75.674410762789449</v>
      </c>
      <c r="Q60" s="118">
        <f t="shared" si="21"/>
        <v>85.006209489731816</v>
      </c>
      <c r="R60" s="796">
        <f t="shared" si="21"/>
        <v>91.334511154329903</v>
      </c>
      <c r="S60" s="118"/>
      <c r="T60" s="118"/>
      <c r="U60" s="118"/>
      <c r="V60" s="118"/>
      <c r="W60" s="118"/>
      <c r="X60" s="118"/>
      <c r="Y60" s="11"/>
    </row>
    <row r="61" spans="1:37" x14ac:dyDescent="0.2">
      <c r="A61" s="284"/>
      <c r="B61" s="11"/>
      <c r="C61" s="10"/>
      <c r="D61" s="243" t="s">
        <v>518</v>
      </c>
      <c r="E61" s="16"/>
      <c r="F61" s="16"/>
      <c r="G61" s="16"/>
      <c r="H61" s="16"/>
      <c r="I61" s="118">
        <f t="shared" ref="I61:R61" si="22">I57*I55/1000</f>
        <v>0</v>
      </c>
      <c r="J61" s="118">
        <f t="shared" si="22"/>
        <v>6.8775649277467421</v>
      </c>
      <c r="K61" s="118">
        <f t="shared" si="22"/>
        <v>46.691506353797038</v>
      </c>
      <c r="L61" s="118">
        <f t="shared" si="22"/>
        <v>62.398464922225294</v>
      </c>
      <c r="M61" s="118">
        <f t="shared" si="22"/>
        <v>88.759919372860111</v>
      </c>
      <c r="N61" s="118">
        <f t="shared" si="22"/>
        <v>111.91784334418584</v>
      </c>
      <c r="O61" s="118">
        <f t="shared" si="22"/>
        <v>131.81046344449555</v>
      </c>
      <c r="P61" s="118">
        <f t="shared" si="22"/>
        <v>151.52477247953868</v>
      </c>
      <c r="Q61" s="118">
        <f t="shared" si="22"/>
        <v>170.52504724830965</v>
      </c>
      <c r="R61" s="796">
        <f t="shared" si="22"/>
        <v>181.0261275872445</v>
      </c>
      <c r="S61" s="118"/>
      <c r="T61" s="118"/>
      <c r="U61" s="118"/>
      <c r="V61" s="118"/>
      <c r="W61" s="118"/>
      <c r="X61" s="118"/>
      <c r="Y61" s="11"/>
    </row>
    <row r="62" spans="1:37" x14ac:dyDescent="0.2">
      <c r="A62" s="284"/>
      <c r="B62" s="11"/>
      <c r="C62" s="10"/>
      <c r="D62" s="11"/>
      <c r="E62" s="16"/>
      <c r="F62" s="16"/>
      <c r="G62" s="16"/>
      <c r="H62" s="16"/>
      <c r="I62" s="17"/>
      <c r="J62" s="17"/>
      <c r="K62" s="17"/>
      <c r="L62" s="17"/>
      <c r="M62" s="17"/>
      <c r="N62" s="17"/>
      <c r="O62" s="17"/>
      <c r="P62" s="17"/>
      <c r="Q62" s="17"/>
      <c r="R62" s="956"/>
      <c r="S62" s="17"/>
      <c r="T62" s="17"/>
      <c r="U62" s="17"/>
      <c r="V62" s="17"/>
      <c r="W62" s="17"/>
      <c r="X62" s="17"/>
      <c r="Y62" s="11"/>
    </row>
    <row r="63" spans="1:37" x14ac:dyDescent="0.2">
      <c r="A63" s="284"/>
      <c r="B63" s="11"/>
      <c r="C63" s="14" t="s">
        <v>249</v>
      </c>
      <c r="D63" s="11"/>
      <c r="E63" s="11"/>
      <c r="F63" s="11"/>
      <c r="G63" s="259">
        <f>IF(AND($K$53&gt;0),$F$53,0)</f>
        <v>0</v>
      </c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289"/>
      <c r="S63" s="11"/>
      <c r="T63" s="11"/>
      <c r="U63" s="11"/>
      <c r="V63" s="11"/>
      <c r="W63" s="11"/>
      <c r="X63" s="11"/>
      <c r="Y63" s="11"/>
    </row>
    <row r="64" spans="1:37" x14ac:dyDescent="0.2">
      <c r="A64" s="284"/>
      <c r="B64" s="11"/>
      <c r="C64" s="14" t="s">
        <v>250</v>
      </c>
      <c r="D64" s="393">
        <f>IF(F52&gt;0,0,F24)</f>
        <v>0.25</v>
      </c>
      <c r="E64" s="239">
        <f>$D$64*E59</f>
        <v>0</v>
      </c>
      <c r="F64" s="239">
        <f>$D$64*F59</f>
        <v>0</v>
      </c>
      <c r="G64" s="239">
        <f>$D$64*G59</f>
        <v>0</v>
      </c>
      <c r="H64" s="195">
        <f>$D$64*H59</f>
        <v>0</v>
      </c>
      <c r="I64" s="195">
        <f>$D$64*I59</f>
        <v>0.82257498821681541</v>
      </c>
      <c r="J64" s="195">
        <f t="shared" ref="J64:R64" si="23">J59-J59/(1+$D$64)</f>
        <v>4.987879436568786</v>
      </c>
      <c r="K64" s="195">
        <f t="shared" si="23"/>
        <v>15.596330288075869</v>
      </c>
      <c r="L64" s="195">
        <f t="shared" si="23"/>
        <v>19.691287059316707</v>
      </c>
      <c r="M64" s="195">
        <f t="shared" si="23"/>
        <v>27.040128116027063</v>
      </c>
      <c r="N64" s="195">
        <f t="shared" si="23"/>
        <v>33.622368390092447</v>
      </c>
      <c r="O64" s="195">
        <f t="shared" si="23"/>
        <v>39.755018610534222</v>
      </c>
      <c r="P64" s="195">
        <f t="shared" si="23"/>
        <v>45.439836648465644</v>
      </c>
      <c r="Q64" s="195">
        <f t="shared" si="23"/>
        <v>51.106251347608293</v>
      </c>
      <c r="R64" s="793">
        <f t="shared" si="23"/>
        <v>54.472127748314875</v>
      </c>
      <c r="S64" s="195"/>
      <c r="T64" s="195"/>
      <c r="U64" s="195"/>
      <c r="V64" s="195"/>
      <c r="W64" s="195"/>
      <c r="X64" s="195"/>
      <c r="Y64" s="11"/>
    </row>
    <row r="65" spans="1:25" x14ac:dyDescent="0.2">
      <c r="A65" s="290"/>
      <c r="B65" s="21"/>
      <c r="C65" s="267" t="s">
        <v>251</v>
      </c>
      <c r="D65" s="203">
        <f>Control!G45</f>
        <v>0.12</v>
      </c>
      <c r="E65" s="179" t="s">
        <v>2</v>
      </c>
      <c r="F65" s="166">
        <f>NPV(D65,F64:R64)+E64</f>
        <v>94.671786704624935</v>
      </c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95"/>
      <c r="S65" s="11"/>
      <c r="T65" s="11"/>
      <c r="U65" s="11"/>
      <c r="V65" s="11"/>
      <c r="W65" s="11"/>
      <c r="X65" s="11"/>
      <c r="Y65" s="11"/>
    </row>
    <row r="66" spans="1:25" x14ac:dyDescent="0.2">
      <c r="A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spans="1:25" x14ac:dyDescent="0.2">
      <c r="A67" s="244" t="s">
        <v>41</v>
      </c>
      <c r="B67" s="8"/>
      <c r="C67" s="20" t="s">
        <v>5</v>
      </c>
      <c r="D67" s="8"/>
      <c r="E67" s="9"/>
      <c r="F67" s="175"/>
      <c r="G67" s="6"/>
      <c r="H67" s="175"/>
      <c r="I67" s="238">
        <f>Sales!J40</f>
        <v>71.165834772232131</v>
      </c>
      <c r="J67" s="238">
        <f>Sales!K40</f>
        <v>444.21451233115005</v>
      </c>
      <c r="K67" s="238">
        <f>Sales!L40</f>
        <v>1040.359961145009</v>
      </c>
      <c r="L67" s="238">
        <f>Sales!M40</f>
        <v>1859.365329504978</v>
      </c>
      <c r="M67" s="238">
        <f>Sales!N40</f>
        <v>2490.7782387615471</v>
      </c>
      <c r="N67" s="238">
        <f>Sales!O40</f>
        <v>3065.54804273432</v>
      </c>
      <c r="O67" s="238">
        <f>Sales!P40</f>
        <v>3635.2903534855377</v>
      </c>
      <c r="P67" s="238">
        <f>Sales!Q40</f>
        <v>4137.5166947750786</v>
      </c>
      <c r="Q67" s="238">
        <f>Sales!R40</f>
        <v>4651.3379613805355</v>
      </c>
      <c r="R67" s="238">
        <f>Sales!S40</f>
        <v>4972.5150004147199</v>
      </c>
      <c r="S67" s="238"/>
      <c r="T67" s="238"/>
      <c r="U67" s="238"/>
      <c r="V67" s="238"/>
      <c r="W67" s="238"/>
      <c r="X67" s="238"/>
      <c r="Y67" s="11"/>
    </row>
    <row r="68" spans="1:25" x14ac:dyDescent="0.2">
      <c r="A68" s="8"/>
      <c r="B68" s="8"/>
      <c r="C68" s="244" t="s">
        <v>318</v>
      </c>
      <c r="D68" s="8"/>
      <c r="E68" s="8"/>
      <c r="F68" s="96"/>
      <c r="G68" s="8"/>
      <c r="H68" s="96"/>
      <c r="I68" s="705">
        <f>I59/I67</f>
        <v>4.6234263441129318E-2</v>
      </c>
      <c r="J68" s="705">
        <f>J59/J67</f>
        <v>5.6142688927398841E-2</v>
      </c>
      <c r="K68" s="705">
        <f t="shared" ref="K68:R68" si="24">K59/K67</f>
        <v>7.4956413503796865E-2</v>
      </c>
      <c r="L68" s="705">
        <f t="shared" si="24"/>
        <v>5.2951635557707093E-2</v>
      </c>
      <c r="M68" s="705">
        <f t="shared" si="24"/>
        <v>5.4280480885909428E-2</v>
      </c>
      <c r="N68" s="705">
        <f t="shared" si="24"/>
        <v>5.4839082476265712E-2</v>
      </c>
      <c r="O68" s="705">
        <f t="shared" si="24"/>
        <v>5.4679289334367567E-2</v>
      </c>
      <c r="P68" s="705">
        <f t="shared" si="24"/>
        <v>5.491196773398857E-2</v>
      </c>
      <c r="Q68" s="705">
        <f t="shared" si="24"/>
        <v>5.4937151172347577E-2</v>
      </c>
      <c r="R68" s="705">
        <f t="shared" si="24"/>
        <v>5.4773216112743522E-2</v>
      </c>
      <c r="S68" s="705"/>
      <c r="T68" s="705"/>
      <c r="U68" s="705"/>
      <c r="V68" s="705"/>
      <c r="W68" s="705"/>
      <c r="X68" s="705"/>
      <c r="Y68" s="11"/>
    </row>
    <row r="69" spans="1:25" x14ac:dyDescent="0.2">
      <c r="A69" s="8"/>
      <c r="B69" s="8"/>
      <c r="C69" s="8"/>
      <c r="D69" s="8"/>
      <c r="E69" s="8"/>
      <c r="F69" s="48"/>
      <c r="G69" s="20"/>
      <c r="H69" s="48"/>
      <c r="I69" s="20"/>
      <c r="J69" s="8"/>
      <c r="K69" s="8"/>
      <c r="L69" s="8"/>
      <c r="S69" s="11"/>
      <c r="T69" s="11"/>
      <c r="U69" s="11"/>
      <c r="V69" s="11"/>
      <c r="W69" s="11"/>
      <c r="X69" s="11"/>
      <c r="Y69" s="11"/>
    </row>
    <row r="70" spans="1:25" x14ac:dyDescent="0.2">
      <c r="A70" s="8"/>
      <c r="B70" s="8"/>
      <c r="C70" s="710" t="s">
        <v>545</v>
      </c>
      <c r="D70" s="8"/>
      <c r="E70" s="8"/>
      <c r="F70" s="176"/>
      <c r="G70" s="177"/>
      <c r="H70" s="176"/>
      <c r="I70" s="177"/>
      <c r="J70" s="704">
        <f>IF(K53=0,0,IF(K53=15,F42,IF(K53=30,F49)))</f>
        <v>0</v>
      </c>
      <c r="K70" s="8"/>
      <c r="L70" s="8"/>
      <c r="S70" s="11"/>
      <c r="T70" s="11"/>
      <c r="U70" s="11"/>
      <c r="V70" s="11"/>
      <c r="W70" s="11"/>
      <c r="X70" s="11"/>
      <c r="Y70" s="11"/>
    </row>
    <row r="71" spans="1:25" x14ac:dyDescent="0.2">
      <c r="A71" s="8"/>
      <c r="B71" s="8"/>
      <c r="C71" s="9"/>
      <c r="D71" s="8"/>
      <c r="E71" s="8"/>
      <c r="F71" s="104"/>
      <c r="G71" s="8"/>
      <c r="H71" s="79"/>
      <c r="I71" s="8"/>
      <c r="J71" s="8"/>
      <c r="K71" s="8"/>
      <c r="L71" s="8"/>
      <c r="S71" s="11"/>
      <c r="T71" s="11"/>
      <c r="U71" s="11"/>
      <c r="V71" s="11"/>
      <c r="W71" s="11"/>
      <c r="X71" s="11"/>
      <c r="Y71" s="11"/>
    </row>
    <row r="72" spans="1:25" x14ac:dyDescent="0.2">
      <c r="A72" s="8"/>
      <c r="B72" s="8"/>
      <c r="C72" s="6"/>
      <c r="D72" s="6"/>
      <c r="E72" s="6"/>
      <c r="F72" s="178"/>
      <c r="G72" s="177"/>
      <c r="H72" s="178"/>
      <c r="I72" s="177"/>
      <c r="J72" s="8"/>
      <c r="K72" s="8"/>
      <c r="L72" s="8"/>
    </row>
    <row r="73" spans="1:25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</row>
    <row r="74" spans="1:25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</row>
  </sheetData>
  <phoneticPr fontId="0" type="noConversion"/>
  <printOptions gridLines="1"/>
  <pageMargins left="0.75" right="0.75" top="1" bottom="1" header="0.5" footer="0.5"/>
  <pageSetup scale="64" orientation="landscape" horizontalDpi="300" verticalDpi="300" r:id="rId1"/>
  <headerFooter alignWithMargins="0">
    <oddFooter>&amp;L&amp;F&amp;A&amp;CPLG Copyright&amp;R&amp;D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G138"/>
  <sheetViews>
    <sheetView zoomScale="80" zoomScaleNormal="80" workbookViewId="0"/>
  </sheetViews>
  <sheetFormatPr defaultRowHeight="12.75" x14ac:dyDescent="0.2"/>
  <cols>
    <col min="1" max="1" width="3.5703125" customWidth="1"/>
    <col min="2" max="2" width="3.28515625" customWidth="1"/>
    <col min="3" max="3" width="55" customWidth="1"/>
    <col min="4" max="4" width="36.7109375" customWidth="1"/>
    <col min="5" max="5" width="11.7109375" customWidth="1"/>
    <col min="6" max="6" width="10.5703125" customWidth="1"/>
    <col min="7" max="7" width="16.5703125" customWidth="1"/>
    <col min="8" max="8" width="10.42578125" customWidth="1"/>
    <col min="9" max="9" width="9.28515625" customWidth="1"/>
    <col min="10" max="10" width="10.140625" customWidth="1"/>
    <col min="11" max="26" width="9.28515625" customWidth="1"/>
    <col min="30" max="30" width="11.42578125" bestFit="1" customWidth="1"/>
  </cols>
  <sheetData>
    <row r="1" spans="1:26" ht="15.75" x14ac:dyDescent="0.25">
      <c r="A1" s="119" t="s">
        <v>128</v>
      </c>
      <c r="G1" s="6"/>
      <c r="N1" s="89"/>
      <c r="R1" s="11"/>
    </row>
    <row r="2" spans="1:26" ht="17.25" customHeight="1" x14ac:dyDescent="0.25">
      <c r="A2" s="119"/>
      <c r="C2" s="204" t="s">
        <v>143</v>
      </c>
      <c r="D2" s="674"/>
      <c r="E2" s="433"/>
      <c r="F2" s="252" t="s">
        <v>505</v>
      </c>
      <c r="G2" s="458">
        <f>Control!V10</f>
        <v>0</v>
      </c>
      <c r="H2" s="253" t="s">
        <v>200</v>
      </c>
      <c r="J2" s="6"/>
      <c r="K2" s="6"/>
      <c r="L2" s="144">
        <v>1</v>
      </c>
      <c r="M2" s="5">
        <f>L2+1</f>
        <v>2</v>
      </c>
      <c r="N2" s="5">
        <f t="shared" ref="N2:U2" si="0">M2+1</f>
        <v>3</v>
      </c>
      <c r="O2" s="5">
        <f t="shared" si="0"/>
        <v>4</v>
      </c>
      <c r="P2" s="5">
        <f t="shared" si="0"/>
        <v>5</v>
      </c>
      <c r="Q2" s="5">
        <f t="shared" si="0"/>
        <v>6</v>
      </c>
      <c r="R2" s="5">
        <f t="shared" si="0"/>
        <v>7</v>
      </c>
      <c r="S2" s="5">
        <f t="shared" si="0"/>
        <v>8</v>
      </c>
      <c r="T2" s="5">
        <f t="shared" si="0"/>
        <v>9</v>
      </c>
      <c r="U2" s="5">
        <f t="shared" si="0"/>
        <v>10</v>
      </c>
      <c r="V2" s="569" t="s">
        <v>4</v>
      </c>
    </row>
    <row r="3" spans="1:26" ht="15" customHeight="1" x14ac:dyDescent="0.25">
      <c r="A3" s="119"/>
      <c r="C3" s="22"/>
      <c r="E3" s="5">
        <v>2005</v>
      </c>
      <c r="F3" s="5">
        <v>2006</v>
      </c>
      <c r="G3" s="5">
        <v>2007</v>
      </c>
      <c r="H3" s="5">
        <v>2008</v>
      </c>
      <c r="I3" s="51">
        <v>2009</v>
      </c>
      <c r="J3" s="5">
        <v>2010</v>
      </c>
      <c r="K3" s="5">
        <v>2011</v>
      </c>
      <c r="L3" s="5">
        <v>2012</v>
      </c>
      <c r="M3" s="5">
        <v>2013</v>
      </c>
      <c r="N3" s="5">
        <v>2014</v>
      </c>
      <c r="O3" s="5">
        <v>2015</v>
      </c>
      <c r="P3" s="5">
        <v>2016</v>
      </c>
      <c r="Q3" s="5">
        <v>2017</v>
      </c>
      <c r="R3" s="5">
        <v>2018</v>
      </c>
      <c r="S3" s="5">
        <v>2019</v>
      </c>
      <c r="T3" s="5">
        <v>2020</v>
      </c>
      <c r="U3" s="5">
        <v>2021</v>
      </c>
      <c r="V3" s="569" t="s">
        <v>508</v>
      </c>
    </row>
    <row r="4" spans="1:26" ht="15" customHeight="1" x14ac:dyDescent="0.25">
      <c r="A4" s="119"/>
      <c r="C4" s="580" t="s">
        <v>497</v>
      </c>
      <c r="D4" s="580"/>
      <c r="E4" s="659">
        <v>8.7000000000000008E-2</v>
      </c>
      <c r="F4" s="659">
        <v>1.0069999999999999</v>
      </c>
      <c r="G4" s="659"/>
      <c r="H4" s="426"/>
      <c r="I4" s="696"/>
      <c r="J4" s="426"/>
      <c r="K4" s="426"/>
      <c r="L4" s="426"/>
      <c r="M4" s="426"/>
      <c r="N4" s="426"/>
      <c r="O4" s="426"/>
      <c r="V4" s="426">
        <f t="shared" ref="V4:V7" si="1">SUM(I4:U4)</f>
        <v>0</v>
      </c>
    </row>
    <row r="5" spans="1:26" ht="15" customHeight="1" x14ac:dyDescent="0.25">
      <c r="A5" s="119"/>
      <c r="C5" s="429" t="s">
        <v>507</v>
      </c>
      <c r="D5" s="429"/>
      <c r="E5" s="659">
        <v>8.7000000000000008E-2</v>
      </c>
      <c r="F5" s="659">
        <v>1.0069999999999999</v>
      </c>
      <c r="G5" s="659">
        <v>1</v>
      </c>
      <c r="H5" s="659">
        <v>2.2000000000000002</v>
      </c>
      <c r="I5" s="708">
        <v>4.9000000000000004</v>
      </c>
      <c r="J5" s="659">
        <v>5.4</v>
      </c>
      <c r="K5" s="659">
        <v>6.7</v>
      </c>
      <c r="L5" s="659">
        <v>7</v>
      </c>
      <c r="M5" s="659">
        <v>7.5</v>
      </c>
      <c r="N5" s="659">
        <v>8</v>
      </c>
      <c r="O5" s="659">
        <v>8.5</v>
      </c>
      <c r="P5" s="659"/>
      <c r="V5" s="426">
        <f t="shared" si="1"/>
        <v>48</v>
      </c>
    </row>
    <row r="6" spans="1:26" ht="15" customHeight="1" x14ac:dyDescent="0.25">
      <c r="A6" s="119"/>
      <c r="C6" s="580" t="s">
        <v>498</v>
      </c>
      <c r="D6" s="580"/>
      <c r="E6" s="666">
        <v>8.7000000000000008E-2</v>
      </c>
      <c r="F6" s="666">
        <v>1.0069999999999999</v>
      </c>
      <c r="G6" s="666">
        <v>0.5</v>
      </c>
      <c r="H6" s="427"/>
      <c r="I6" s="427"/>
      <c r="J6" s="427"/>
      <c r="K6" s="427"/>
      <c r="L6" s="427"/>
      <c r="M6" s="427"/>
      <c r="N6" s="427"/>
      <c r="O6" s="427"/>
      <c r="P6" s="21"/>
      <c r="Q6" s="21"/>
      <c r="R6" s="21"/>
      <c r="S6" s="21"/>
      <c r="T6" s="21"/>
      <c r="U6" s="21"/>
      <c r="V6" s="427">
        <f t="shared" si="1"/>
        <v>0</v>
      </c>
    </row>
    <row r="7" spans="1:26" ht="15" customHeight="1" x14ac:dyDescent="0.25">
      <c r="A7" s="119"/>
      <c r="C7" s="707" t="s">
        <v>501</v>
      </c>
      <c r="D7" s="429"/>
      <c r="E7" s="659">
        <f>SUM(E4:E6)</f>
        <v>0.26100000000000001</v>
      </c>
      <c r="F7" s="659">
        <f t="shared" ref="F7:U7" si="2">SUM(F4:F6)</f>
        <v>3.0209999999999999</v>
      </c>
      <c r="G7" s="659">
        <f t="shared" si="2"/>
        <v>1.5</v>
      </c>
      <c r="H7" s="659">
        <f t="shared" si="2"/>
        <v>2.2000000000000002</v>
      </c>
      <c r="I7" s="708">
        <f t="shared" si="2"/>
        <v>4.9000000000000004</v>
      </c>
      <c r="J7" s="659">
        <f t="shared" si="2"/>
        <v>5.4</v>
      </c>
      <c r="K7" s="659">
        <f t="shared" si="2"/>
        <v>6.7</v>
      </c>
      <c r="L7" s="659">
        <f t="shared" si="2"/>
        <v>7</v>
      </c>
      <c r="M7" s="659">
        <f t="shared" si="2"/>
        <v>7.5</v>
      </c>
      <c r="N7" s="659">
        <f t="shared" si="2"/>
        <v>8</v>
      </c>
      <c r="O7" s="659">
        <f t="shared" si="2"/>
        <v>8.5</v>
      </c>
      <c r="P7" s="659">
        <f t="shared" si="2"/>
        <v>0</v>
      </c>
      <c r="Q7" s="659">
        <f t="shared" si="2"/>
        <v>0</v>
      </c>
      <c r="R7" s="659">
        <f t="shared" si="2"/>
        <v>0</v>
      </c>
      <c r="S7" s="659">
        <f t="shared" si="2"/>
        <v>0</v>
      </c>
      <c r="T7" s="659">
        <f t="shared" si="2"/>
        <v>0</v>
      </c>
      <c r="U7" s="659">
        <f t="shared" si="2"/>
        <v>0</v>
      </c>
      <c r="V7" s="426">
        <f t="shared" si="1"/>
        <v>48</v>
      </c>
    </row>
    <row r="8" spans="1:26" ht="15" customHeight="1" x14ac:dyDescent="0.25">
      <c r="A8" s="119"/>
      <c r="C8" s="1" t="s">
        <v>499</v>
      </c>
      <c r="D8" s="1"/>
      <c r="F8" s="22"/>
      <c r="G8" s="6"/>
      <c r="H8" s="6"/>
      <c r="I8" s="6"/>
      <c r="J8" s="6"/>
      <c r="K8" s="6"/>
      <c r="L8" s="6"/>
      <c r="N8" s="89"/>
      <c r="R8" s="11"/>
    </row>
    <row r="9" spans="1:26" ht="15" customHeight="1" x14ac:dyDescent="0.25">
      <c r="A9" s="119"/>
      <c r="C9" s="423" t="s">
        <v>463</v>
      </c>
      <c r="D9" s="423"/>
      <c r="F9" s="22"/>
      <c r="G9" s="660">
        <f>T51</f>
        <v>1.1021100000000001</v>
      </c>
      <c r="H9" s="660"/>
      <c r="I9" s="660"/>
      <c r="J9" s="660"/>
      <c r="K9" s="661"/>
      <c r="L9" s="662"/>
      <c r="M9" s="661"/>
      <c r="N9" s="661"/>
      <c r="O9" s="661"/>
      <c r="P9" s="663"/>
      <c r="Q9" s="661"/>
      <c r="R9" s="661"/>
      <c r="S9" s="5"/>
      <c r="V9" s="426">
        <f>SUM(I9:U9)</f>
        <v>0</v>
      </c>
      <c r="X9" s="423"/>
      <c r="Y9" s="665"/>
      <c r="Z9" s="665"/>
    </row>
    <row r="10" spans="1:26" ht="15" customHeight="1" x14ac:dyDescent="0.25">
      <c r="A10" s="119"/>
      <c r="C10" s="424" t="s">
        <v>466</v>
      </c>
      <c r="D10" s="424"/>
      <c r="F10" s="22"/>
      <c r="G10" s="660"/>
      <c r="H10" s="660">
        <f>T52</f>
        <v>6.6947999999999999</v>
      </c>
      <c r="I10" s="660"/>
      <c r="J10" s="660"/>
      <c r="K10" s="661"/>
      <c r="L10" s="662"/>
      <c r="M10" s="661"/>
      <c r="N10" s="661"/>
      <c r="O10" s="661"/>
      <c r="P10" s="663"/>
      <c r="Q10" s="661"/>
      <c r="R10" s="661"/>
      <c r="S10" s="5"/>
      <c r="V10" s="426">
        <f t="shared" ref="V10:V30" si="3">SUM(I10:U10)</f>
        <v>0</v>
      </c>
      <c r="X10" s="423"/>
      <c r="Y10" s="665"/>
      <c r="Z10" s="665"/>
    </row>
    <row r="11" spans="1:26" ht="15" customHeight="1" x14ac:dyDescent="0.25">
      <c r="A11" s="119"/>
      <c r="C11" t="s">
        <v>467</v>
      </c>
      <c r="F11" s="22"/>
      <c r="G11" s="660"/>
      <c r="H11" s="660"/>
      <c r="I11" s="660">
        <f>$T$53*U53</f>
        <v>14.024655040000001</v>
      </c>
      <c r="J11" s="660">
        <f>$T$53*V53</f>
        <v>27.411825759999999</v>
      </c>
      <c r="K11" s="660">
        <f>$T$53*W53</f>
        <v>22.311951199999999</v>
      </c>
      <c r="L11" s="660">
        <f>K11</f>
        <v>22.311951199999999</v>
      </c>
      <c r="M11" s="660">
        <f t="shared" ref="M11:P11" si="4">L11</f>
        <v>22.311951199999999</v>
      </c>
      <c r="N11" s="660">
        <f t="shared" si="4"/>
        <v>22.311951199999999</v>
      </c>
      <c r="O11" s="660">
        <f t="shared" si="4"/>
        <v>22.311951199999999</v>
      </c>
      <c r="P11" s="660">
        <f t="shared" si="4"/>
        <v>22.311951199999999</v>
      </c>
      <c r="Q11" s="661"/>
      <c r="R11" s="661"/>
      <c r="S11" s="5"/>
      <c r="V11" s="426">
        <f t="shared" si="3"/>
        <v>175.308188</v>
      </c>
      <c r="X11" s="423"/>
      <c r="Y11" s="665"/>
      <c r="Z11" s="665"/>
    </row>
    <row r="12" spans="1:26" ht="15" customHeight="1" x14ac:dyDescent="0.25">
      <c r="A12" s="119"/>
      <c r="C12" t="s">
        <v>472</v>
      </c>
      <c r="F12" s="22"/>
      <c r="G12" s="660"/>
      <c r="H12" s="660"/>
      <c r="I12" s="660"/>
      <c r="J12" s="660">
        <f>$T$54*V54</f>
        <v>23.728939999999998</v>
      </c>
      <c r="K12" s="660">
        <f>$T$54*W54</f>
        <v>52.203668</v>
      </c>
      <c r="L12" s="660">
        <f>$T$54*X54</f>
        <v>18.983152</v>
      </c>
      <c r="M12" s="661">
        <f>L12</f>
        <v>18.983152</v>
      </c>
      <c r="N12" s="661">
        <f t="shared" ref="N12" si="5">M12</f>
        <v>18.983152</v>
      </c>
      <c r="O12" s="661">
        <v>10</v>
      </c>
      <c r="P12" s="661"/>
      <c r="Q12" s="661"/>
      <c r="R12" s="661"/>
      <c r="S12" s="5"/>
      <c r="V12" s="426">
        <f t="shared" si="3"/>
        <v>142.88206400000001</v>
      </c>
      <c r="X12" s="423"/>
      <c r="Y12" s="665"/>
      <c r="Z12" s="665"/>
    </row>
    <row r="13" spans="1:26" ht="15" customHeight="1" x14ac:dyDescent="0.25">
      <c r="A13" s="119"/>
      <c r="C13" t="s">
        <v>475</v>
      </c>
      <c r="F13" s="22"/>
      <c r="G13" s="660"/>
      <c r="H13" s="660"/>
      <c r="I13" s="660"/>
      <c r="J13" s="660"/>
      <c r="K13" s="661">
        <f>$T$55*W55</f>
        <v>5.0812499999999998</v>
      </c>
      <c r="L13" s="661">
        <f>$T$55*X55</f>
        <v>5.0812499999999998</v>
      </c>
      <c r="M13" s="661">
        <f>$T$55*Y55</f>
        <v>10.1625</v>
      </c>
      <c r="N13" s="661">
        <f>M13</f>
        <v>10.1625</v>
      </c>
      <c r="O13" s="661">
        <f t="shared" ref="O13:P13" si="6">N13</f>
        <v>10.1625</v>
      </c>
      <c r="P13" s="661">
        <f t="shared" si="6"/>
        <v>10.1625</v>
      </c>
      <c r="Q13" s="661"/>
      <c r="R13" s="661"/>
      <c r="S13" s="5"/>
      <c r="V13" s="426">
        <f t="shared" si="3"/>
        <v>50.8125</v>
      </c>
      <c r="X13" s="423"/>
      <c r="Y13" s="665"/>
      <c r="Z13" s="665"/>
    </row>
    <row r="14" spans="1:26" ht="15" customHeight="1" x14ac:dyDescent="0.25">
      <c r="A14" s="119"/>
      <c r="C14" t="s">
        <v>477</v>
      </c>
      <c r="F14" s="22"/>
      <c r="G14" s="660"/>
      <c r="H14" s="660"/>
      <c r="I14" s="660"/>
      <c r="J14" s="660"/>
      <c r="K14" s="661"/>
      <c r="L14" s="660">
        <f>$T$56*X56</f>
        <v>10.997712</v>
      </c>
      <c r="M14" s="660">
        <f>$T$56*Y56</f>
        <v>10.997712</v>
      </c>
      <c r="N14" s="661"/>
      <c r="O14" s="661"/>
      <c r="P14" s="663"/>
      <c r="Q14" s="661"/>
      <c r="R14" s="661"/>
      <c r="S14" s="5"/>
      <c r="V14" s="426">
        <f t="shared" si="3"/>
        <v>21.995424</v>
      </c>
      <c r="X14" s="423"/>
      <c r="Y14" s="665"/>
      <c r="Z14" s="665"/>
    </row>
    <row r="15" spans="1:26" ht="15" customHeight="1" x14ac:dyDescent="0.25">
      <c r="A15" s="119"/>
      <c r="C15" t="s">
        <v>479</v>
      </c>
      <c r="F15" s="22"/>
      <c r="G15" s="660"/>
      <c r="H15" s="660"/>
      <c r="I15" s="660"/>
      <c r="J15" s="660"/>
      <c r="K15" s="661"/>
      <c r="L15" s="660">
        <f>$T$57*X57</f>
        <v>26.91592</v>
      </c>
      <c r="M15" s="660">
        <f>$T$57*Y57</f>
        <v>18.841144</v>
      </c>
      <c r="N15" s="660">
        <f>$T$57*Z57</f>
        <v>8.074776</v>
      </c>
      <c r="O15" s="661">
        <f>N15</f>
        <v>8.074776</v>
      </c>
      <c r="P15" s="661">
        <f>O15</f>
        <v>8.074776</v>
      </c>
      <c r="Q15" s="661"/>
      <c r="R15" s="661"/>
      <c r="S15" s="5"/>
      <c r="V15" s="426">
        <f t="shared" si="3"/>
        <v>69.981392</v>
      </c>
      <c r="X15" s="423"/>
      <c r="Y15" s="665"/>
      <c r="Z15" s="665"/>
    </row>
    <row r="16" spans="1:26" ht="15" customHeight="1" x14ac:dyDescent="0.25">
      <c r="A16" s="119"/>
      <c r="C16" t="s">
        <v>481</v>
      </c>
      <c r="F16" s="22"/>
      <c r="G16" s="660"/>
      <c r="H16" s="660"/>
      <c r="I16" s="660"/>
      <c r="J16" s="660"/>
      <c r="K16" s="661"/>
      <c r="L16" s="660">
        <f>$T$58*X58</f>
        <v>13.047840000000001</v>
      </c>
      <c r="M16" s="660">
        <f>$T$58*Y58</f>
        <v>21.746400000000001</v>
      </c>
      <c r="N16" s="660">
        <f>$T$58*Z58</f>
        <v>21.746400000000001</v>
      </c>
      <c r="O16" s="660">
        <f>$T$58*AA58</f>
        <v>30.444959999999998</v>
      </c>
      <c r="P16" s="663"/>
      <c r="Q16" s="661"/>
      <c r="R16" s="661"/>
      <c r="S16" s="5"/>
      <c r="V16" s="426">
        <f t="shared" si="3"/>
        <v>86.985600000000005</v>
      </c>
      <c r="X16" s="423"/>
      <c r="Y16" s="665"/>
      <c r="Z16" s="665"/>
    </row>
    <row r="17" spans="1:26" ht="15" customHeight="1" x14ac:dyDescent="0.25">
      <c r="A17" s="119"/>
      <c r="C17" t="s">
        <v>484</v>
      </c>
      <c r="F17" s="22"/>
      <c r="G17" s="660"/>
      <c r="H17" s="660"/>
      <c r="I17" s="660"/>
      <c r="J17" s="660"/>
      <c r="K17" s="661"/>
      <c r="L17" s="660"/>
      <c r="M17" s="661"/>
      <c r="N17" s="661">
        <f>$T$59*Z59</f>
        <v>41.485440000000004</v>
      </c>
      <c r="O17" s="661">
        <f>$T$59*AA59</f>
        <v>36.299759999999999</v>
      </c>
      <c r="P17" s="661">
        <f>$T$59*AB59</f>
        <v>25.9284</v>
      </c>
      <c r="Q17" s="661"/>
      <c r="R17" s="661"/>
      <c r="S17" s="5"/>
      <c r="V17" s="426">
        <f t="shared" si="3"/>
        <v>103.7136</v>
      </c>
      <c r="X17" s="423"/>
      <c r="Y17" s="665"/>
      <c r="Z17" s="665"/>
    </row>
    <row r="18" spans="1:26" ht="15" customHeight="1" x14ac:dyDescent="0.25">
      <c r="A18" s="119"/>
      <c r="C18" t="s">
        <v>485</v>
      </c>
      <c r="F18" s="22"/>
      <c r="G18" s="660"/>
      <c r="H18" s="660"/>
      <c r="I18" s="660"/>
      <c r="J18" s="660"/>
      <c r="K18" s="661"/>
      <c r="L18" s="660"/>
      <c r="M18" s="661"/>
      <c r="N18" s="661"/>
      <c r="O18" s="661"/>
      <c r="P18" s="663">
        <f>$T$60*AB60</f>
        <v>15.334</v>
      </c>
      <c r="Q18" s="663">
        <f>$T$60*AC60</f>
        <v>30.667999999999999</v>
      </c>
      <c r="R18" s="663">
        <f>$T$60*AD60</f>
        <v>15.334</v>
      </c>
      <c r="S18" s="5"/>
      <c r="V18" s="426">
        <f t="shared" si="3"/>
        <v>61.335999999999999</v>
      </c>
      <c r="X18" s="423"/>
      <c r="Y18" s="665"/>
      <c r="Z18" s="665"/>
    </row>
    <row r="19" spans="1:26" ht="15" customHeight="1" x14ac:dyDescent="0.25">
      <c r="A19" s="119"/>
      <c r="C19" s="423" t="s">
        <v>540</v>
      </c>
      <c r="D19" s="423"/>
      <c r="E19" s="21"/>
      <c r="F19" s="327"/>
      <c r="G19" s="667"/>
      <c r="H19" s="667"/>
      <c r="I19" s="667"/>
      <c r="J19" s="667"/>
      <c r="K19" s="668"/>
      <c r="L19" s="667">
        <v>2.7</v>
      </c>
      <c r="M19" s="668">
        <v>0.9</v>
      </c>
      <c r="N19" s="668">
        <v>2.2000000000000002</v>
      </c>
      <c r="O19" s="668">
        <v>4.3</v>
      </c>
      <c r="P19" s="668"/>
      <c r="Q19" s="668">
        <v>20</v>
      </c>
      <c r="R19" s="668">
        <f>Q19</f>
        <v>20</v>
      </c>
      <c r="S19" s="427">
        <f>R19</f>
        <v>20</v>
      </c>
      <c r="T19" s="427">
        <f t="shared" ref="T19:U19" si="7">S19</f>
        <v>20</v>
      </c>
      <c r="U19" s="427">
        <f t="shared" si="7"/>
        <v>20</v>
      </c>
      <c r="V19" s="427">
        <f t="shared" si="3"/>
        <v>110.1</v>
      </c>
      <c r="X19" s="423"/>
      <c r="Y19" s="665"/>
      <c r="Z19" s="665"/>
    </row>
    <row r="20" spans="1:26" ht="15" customHeight="1" x14ac:dyDescent="0.25">
      <c r="A20" s="119"/>
      <c r="C20" s="423" t="s">
        <v>512</v>
      </c>
      <c r="D20" s="423"/>
      <c r="F20" s="22"/>
      <c r="G20" s="660">
        <f>SUM(G9:G19)-G15</f>
        <v>1.1021100000000001</v>
      </c>
      <c r="H20" s="660">
        <f t="shared" ref="H20:U20" si="8">SUM(H9:H19)-H15</f>
        <v>6.6947999999999999</v>
      </c>
      <c r="I20" s="660">
        <f t="shared" si="8"/>
        <v>14.024655040000001</v>
      </c>
      <c r="J20" s="660">
        <f t="shared" si="8"/>
        <v>51.140765759999994</v>
      </c>
      <c r="K20" s="660">
        <f t="shared" si="8"/>
        <v>79.5968692</v>
      </c>
      <c r="L20" s="660">
        <f t="shared" si="8"/>
        <v>73.1219052</v>
      </c>
      <c r="M20" s="660">
        <f t="shared" si="8"/>
        <v>85.101715200000015</v>
      </c>
      <c r="N20" s="660">
        <f t="shared" si="8"/>
        <v>116.88944320000002</v>
      </c>
      <c r="O20" s="660">
        <f t="shared" si="8"/>
        <v>113.51917119999999</v>
      </c>
      <c r="P20" s="660">
        <f t="shared" si="8"/>
        <v>73.736851200000004</v>
      </c>
      <c r="Q20" s="660">
        <f t="shared" si="8"/>
        <v>50.667999999999999</v>
      </c>
      <c r="R20" s="660">
        <f t="shared" si="8"/>
        <v>35.334000000000003</v>
      </c>
      <c r="S20" s="660">
        <f t="shared" si="8"/>
        <v>20</v>
      </c>
      <c r="T20" s="660">
        <f t="shared" si="8"/>
        <v>20</v>
      </c>
      <c r="U20" s="660">
        <f t="shared" si="8"/>
        <v>20</v>
      </c>
      <c r="V20" s="426">
        <f t="shared" si="3"/>
        <v>753.133376</v>
      </c>
      <c r="X20" s="423"/>
      <c r="Y20" s="665"/>
      <c r="Z20" s="665"/>
    </row>
    <row r="21" spans="1:26" ht="15" customHeight="1" x14ac:dyDescent="0.25">
      <c r="A21" s="119"/>
      <c r="C21" s="423" t="s">
        <v>513</v>
      </c>
      <c r="D21" s="423"/>
      <c r="F21" s="22"/>
      <c r="G21" s="660">
        <f>G15</f>
        <v>0</v>
      </c>
      <c r="H21" s="660">
        <f t="shared" ref="H21:U21" si="9">H15</f>
        <v>0</v>
      </c>
      <c r="I21" s="660">
        <f t="shared" si="9"/>
        <v>0</v>
      </c>
      <c r="J21" s="660">
        <f t="shared" si="9"/>
        <v>0</v>
      </c>
      <c r="K21" s="660">
        <f t="shared" si="9"/>
        <v>0</v>
      </c>
      <c r="L21" s="660">
        <f t="shared" si="9"/>
        <v>26.91592</v>
      </c>
      <c r="M21" s="660">
        <f t="shared" si="9"/>
        <v>18.841144</v>
      </c>
      <c r="N21" s="660">
        <f t="shared" si="9"/>
        <v>8.074776</v>
      </c>
      <c r="O21" s="660">
        <f t="shared" si="9"/>
        <v>8.074776</v>
      </c>
      <c r="P21" s="660">
        <f t="shared" si="9"/>
        <v>8.074776</v>
      </c>
      <c r="Q21" s="660">
        <f t="shared" si="9"/>
        <v>0</v>
      </c>
      <c r="R21" s="660">
        <f t="shared" si="9"/>
        <v>0</v>
      </c>
      <c r="S21" s="660">
        <f t="shared" si="9"/>
        <v>0</v>
      </c>
      <c r="T21" s="660">
        <f t="shared" si="9"/>
        <v>0</v>
      </c>
      <c r="U21" s="660">
        <f t="shared" si="9"/>
        <v>0</v>
      </c>
      <c r="V21" s="426">
        <f t="shared" si="3"/>
        <v>69.981392</v>
      </c>
      <c r="X21" s="423"/>
      <c r="Y21" s="665"/>
      <c r="Z21" s="665"/>
    </row>
    <row r="22" spans="1:26" ht="15" customHeight="1" x14ac:dyDescent="0.25">
      <c r="A22" s="119"/>
      <c r="C22" s="1" t="s">
        <v>486</v>
      </c>
      <c r="D22" s="1"/>
      <c r="F22" s="22"/>
      <c r="G22" s="660"/>
      <c r="H22" s="660"/>
      <c r="I22" s="660"/>
      <c r="J22" s="660"/>
      <c r="K22" s="661"/>
      <c r="L22" s="660"/>
      <c r="M22" s="661"/>
      <c r="N22" s="661"/>
      <c r="O22" s="661"/>
      <c r="P22" s="663"/>
      <c r="Q22" s="661"/>
      <c r="R22" s="661"/>
      <c r="S22" s="5"/>
      <c r="V22" s="426">
        <f t="shared" si="3"/>
        <v>0</v>
      </c>
      <c r="X22" s="423"/>
      <c r="Y22" s="665"/>
      <c r="Z22" s="665"/>
    </row>
    <row r="23" spans="1:26" ht="15" customHeight="1" x14ac:dyDescent="0.25">
      <c r="A23" s="119"/>
      <c r="C23" t="s">
        <v>487</v>
      </c>
      <c r="F23" s="22"/>
      <c r="G23" s="660"/>
      <c r="H23" s="660"/>
      <c r="I23" s="660"/>
      <c r="J23" s="660"/>
      <c r="K23" s="660"/>
      <c r="L23" s="660">
        <f>$T$62*X62</f>
        <v>3.0632800000000002</v>
      </c>
      <c r="M23" s="660">
        <f>$T$62*Y62</f>
        <v>3.0632800000000002</v>
      </c>
      <c r="N23" s="660"/>
      <c r="O23" s="660"/>
      <c r="P23" s="660"/>
      <c r="Q23" s="661"/>
      <c r="R23" s="661"/>
      <c r="S23" s="5"/>
      <c r="V23" s="426">
        <f t="shared" si="3"/>
        <v>6.1265600000000004</v>
      </c>
      <c r="X23" s="423"/>
      <c r="Y23" s="665"/>
      <c r="Z23" s="665"/>
    </row>
    <row r="24" spans="1:26" ht="15" customHeight="1" x14ac:dyDescent="0.25">
      <c r="A24" s="119"/>
      <c r="C24" s="429" t="s">
        <v>504</v>
      </c>
      <c r="F24" s="22"/>
      <c r="G24" s="660"/>
      <c r="H24" s="660"/>
      <c r="I24" s="660"/>
      <c r="J24" s="660"/>
      <c r="K24" s="661"/>
      <c r="L24" s="660"/>
      <c r="M24" s="661">
        <v>3.2060599999999999</v>
      </c>
      <c r="N24" s="661">
        <v>6.4121199999999998</v>
      </c>
      <c r="O24" s="661">
        <v>3.2060599999999999</v>
      </c>
      <c r="P24" s="663"/>
      <c r="Q24" s="661"/>
      <c r="R24" s="661"/>
      <c r="S24" s="5"/>
      <c r="V24" s="426">
        <f t="shared" si="3"/>
        <v>12.82424</v>
      </c>
      <c r="X24" s="423"/>
      <c r="Y24" s="665"/>
      <c r="Z24" s="665"/>
    </row>
    <row r="25" spans="1:26" ht="15" customHeight="1" x14ac:dyDescent="0.25">
      <c r="A25" s="119"/>
      <c r="C25" t="s">
        <v>493</v>
      </c>
      <c r="F25" s="22"/>
      <c r="G25" s="660"/>
      <c r="H25" s="660"/>
      <c r="I25" s="660"/>
      <c r="J25" s="660"/>
      <c r="K25" s="661"/>
      <c r="L25" s="660"/>
      <c r="M25" s="661"/>
      <c r="N25" s="661">
        <f>$T$64*Z64</f>
        <v>1.0576000000000001</v>
      </c>
      <c r="O25" s="661">
        <f>$T$64*AA64</f>
        <v>2.1152000000000002</v>
      </c>
      <c r="P25" s="661">
        <f>$T$64*AB64</f>
        <v>1.0576000000000001</v>
      </c>
      <c r="Q25" s="661"/>
      <c r="R25" s="661"/>
      <c r="S25" s="5"/>
      <c r="V25" s="426">
        <f t="shared" si="3"/>
        <v>4.2304000000000004</v>
      </c>
      <c r="X25" s="423"/>
      <c r="Y25" s="665"/>
      <c r="Z25" s="665"/>
    </row>
    <row r="26" spans="1:26" ht="15" customHeight="1" x14ac:dyDescent="0.25">
      <c r="A26" s="119"/>
      <c r="C26" s="1" t="s">
        <v>494</v>
      </c>
      <c r="D26" s="1"/>
      <c r="F26" s="22"/>
      <c r="G26" s="660"/>
      <c r="H26" s="660"/>
      <c r="I26" s="660"/>
      <c r="J26" s="660"/>
      <c r="K26" s="661"/>
      <c r="L26" s="660"/>
      <c r="M26" s="661"/>
      <c r="N26" s="661"/>
      <c r="O26" s="661"/>
      <c r="P26" s="663"/>
      <c r="Q26" s="661"/>
      <c r="R26" s="661"/>
      <c r="S26" s="5"/>
      <c r="V26" s="426">
        <f t="shared" si="3"/>
        <v>0</v>
      </c>
      <c r="X26" s="423"/>
      <c r="Y26" s="665"/>
      <c r="Z26" s="665"/>
    </row>
    <row r="27" spans="1:26" ht="15" customHeight="1" x14ac:dyDescent="0.25">
      <c r="A27" s="119"/>
      <c r="C27" t="s">
        <v>495</v>
      </c>
      <c r="E27" s="21"/>
      <c r="F27" s="327"/>
      <c r="G27" s="667"/>
      <c r="H27" s="667"/>
      <c r="I27" s="667"/>
      <c r="J27" s="667"/>
      <c r="K27" s="668"/>
      <c r="L27" s="669"/>
      <c r="M27" s="668"/>
      <c r="N27" s="668"/>
      <c r="O27" s="668"/>
      <c r="P27" s="668">
        <f>$T$66*AB66</f>
        <v>1.8518400000000002</v>
      </c>
      <c r="Q27" s="668">
        <f>$T$66*AC66</f>
        <v>3.7036800000000003</v>
      </c>
      <c r="R27" s="668">
        <f>$T$66*AD66</f>
        <v>1.8518400000000002</v>
      </c>
      <c r="S27" s="605"/>
      <c r="T27" s="21"/>
      <c r="U27" s="21"/>
      <c r="V27" s="426">
        <f t="shared" si="3"/>
        <v>7.4073600000000006</v>
      </c>
      <c r="X27" s="423"/>
      <c r="Y27" s="665"/>
      <c r="Z27" s="665"/>
    </row>
    <row r="28" spans="1:26" ht="15" customHeight="1" x14ac:dyDescent="0.25">
      <c r="A28" s="119"/>
      <c r="C28" s="423" t="s">
        <v>514</v>
      </c>
      <c r="E28" s="689">
        <f>SUM(E23:E27)</f>
        <v>0</v>
      </c>
      <c r="F28" s="689">
        <f t="shared" ref="F28:U28" si="10">SUM(F23:F27)</f>
        <v>0</v>
      </c>
      <c r="G28" s="689">
        <f t="shared" si="10"/>
        <v>0</v>
      </c>
      <c r="H28" s="689">
        <f t="shared" si="10"/>
        <v>0</v>
      </c>
      <c r="I28" s="689">
        <f t="shared" si="10"/>
        <v>0</v>
      </c>
      <c r="J28" s="689">
        <f t="shared" si="10"/>
        <v>0</v>
      </c>
      <c r="K28" s="689">
        <f t="shared" si="10"/>
        <v>0</v>
      </c>
      <c r="L28" s="689">
        <f t="shared" si="10"/>
        <v>3.0632800000000002</v>
      </c>
      <c r="M28" s="689">
        <f t="shared" si="10"/>
        <v>6.2693399999999997</v>
      </c>
      <c r="N28" s="689">
        <f t="shared" si="10"/>
        <v>7.4697199999999997</v>
      </c>
      <c r="O28" s="689">
        <f t="shared" si="10"/>
        <v>5.3212600000000005</v>
      </c>
      <c r="P28" s="689">
        <f t="shared" si="10"/>
        <v>2.90944</v>
      </c>
      <c r="Q28" s="689">
        <f t="shared" si="10"/>
        <v>3.7036800000000003</v>
      </c>
      <c r="R28" s="689">
        <f t="shared" si="10"/>
        <v>1.8518400000000002</v>
      </c>
      <c r="S28" s="689">
        <f t="shared" si="10"/>
        <v>0</v>
      </c>
      <c r="T28" s="689">
        <f t="shared" si="10"/>
        <v>0</v>
      </c>
      <c r="U28" s="689">
        <f t="shared" si="10"/>
        <v>0</v>
      </c>
      <c r="V28" s="426">
        <f t="shared" si="3"/>
        <v>30.588560000000005</v>
      </c>
      <c r="X28" s="423"/>
      <c r="Y28" s="665"/>
      <c r="Z28" s="665"/>
    </row>
    <row r="29" spans="1:26" ht="15" customHeight="1" x14ac:dyDescent="0.25">
      <c r="A29" s="119"/>
      <c r="C29" s="1" t="s">
        <v>500</v>
      </c>
      <c r="D29" s="1"/>
      <c r="E29" s="426">
        <f>E20+E21+E28</f>
        <v>0</v>
      </c>
      <c r="F29" s="426">
        <f t="shared" ref="F29:U29" si="11">F20+F21+F28</f>
        <v>0</v>
      </c>
      <c r="G29" s="426">
        <f t="shared" si="11"/>
        <v>1.1021100000000001</v>
      </c>
      <c r="H29" s="426">
        <f t="shared" si="11"/>
        <v>6.6947999999999999</v>
      </c>
      <c r="I29" s="696">
        <f t="shared" si="11"/>
        <v>14.024655040000001</v>
      </c>
      <c r="J29" s="426">
        <f t="shared" si="11"/>
        <v>51.140765759999994</v>
      </c>
      <c r="K29" s="426">
        <f t="shared" si="11"/>
        <v>79.5968692</v>
      </c>
      <c r="L29" s="426">
        <f t="shared" si="11"/>
        <v>103.10110520000001</v>
      </c>
      <c r="M29" s="426">
        <f t="shared" si="11"/>
        <v>110.21219920000001</v>
      </c>
      <c r="N29" s="426">
        <f t="shared" si="11"/>
        <v>132.43393920000003</v>
      </c>
      <c r="O29" s="426">
        <f t="shared" si="11"/>
        <v>126.91520719999998</v>
      </c>
      <c r="P29" s="426">
        <f t="shared" si="11"/>
        <v>84.721067200000007</v>
      </c>
      <c r="Q29" s="426">
        <f t="shared" si="11"/>
        <v>54.371679999999998</v>
      </c>
      <c r="R29" s="426">
        <f t="shared" si="11"/>
        <v>37.185840000000006</v>
      </c>
      <c r="S29" s="426">
        <f t="shared" si="11"/>
        <v>20</v>
      </c>
      <c r="T29" s="426">
        <f t="shared" si="11"/>
        <v>20</v>
      </c>
      <c r="U29" s="426">
        <f t="shared" si="11"/>
        <v>20</v>
      </c>
      <c r="V29" s="426">
        <f t="shared" si="3"/>
        <v>853.70332799999994</v>
      </c>
      <c r="X29" s="423"/>
    </row>
    <row r="30" spans="1:26" ht="15" customHeight="1" thickBot="1" x14ac:dyDescent="0.3">
      <c r="A30" s="119"/>
      <c r="C30" s="1" t="s">
        <v>502</v>
      </c>
      <c r="D30" s="1"/>
      <c r="E30" s="670">
        <f>E29+E7</f>
        <v>0.26100000000000001</v>
      </c>
      <c r="F30" s="670">
        <f t="shared" ref="F30:U30" si="12">F29+F7</f>
        <v>3.0209999999999999</v>
      </c>
      <c r="G30" s="670">
        <f t="shared" si="12"/>
        <v>2.6021100000000001</v>
      </c>
      <c r="H30" s="670">
        <f t="shared" si="12"/>
        <v>8.8948</v>
      </c>
      <c r="I30" s="670">
        <f t="shared" si="12"/>
        <v>18.924655040000001</v>
      </c>
      <c r="J30" s="670">
        <f t="shared" si="12"/>
        <v>56.540765759999992</v>
      </c>
      <c r="K30" s="670">
        <f t="shared" si="12"/>
        <v>86.296869200000003</v>
      </c>
      <c r="L30" s="670">
        <f t="shared" si="12"/>
        <v>110.10110520000001</v>
      </c>
      <c r="M30" s="670">
        <f t="shared" si="12"/>
        <v>117.71219920000001</v>
      </c>
      <c r="N30" s="670">
        <f t="shared" si="12"/>
        <v>140.43393920000003</v>
      </c>
      <c r="O30" s="670">
        <f t="shared" si="12"/>
        <v>135.4152072</v>
      </c>
      <c r="P30" s="670">
        <f t="shared" si="12"/>
        <v>84.721067200000007</v>
      </c>
      <c r="Q30" s="670">
        <f t="shared" si="12"/>
        <v>54.371679999999998</v>
      </c>
      <c r="R30" s="670">
        <f t="shared" si="12"/>
        <v>37.185840000000006</v>
      </c>
      <c r="S30" s="670">
        <f t="shared" si="12"/>
        <v>20</v>
      </c>
      <c r="T30" s="670">
        <f t="shared" si="12"/>
        <v>20</v>
      </c>
      <c r="U30" s="670">
        <f t="shared" si="12"/>
        <v>20</v>
      </c>
      <c r="V30" s="426">
        <f t="shared" si="3"/>
        <v>901.70332800000006</v>
      </c>
      <c r="X30" s="423"/>
    </row>
    <row r="31" spans="1:26" ht="15" customHeight="1" x14ac:dyDescent="0.25">
      <c r="A31" s="119"/>
      <c r="E31" s="671">
        <v>0.26100000000000001</v>
      </c>
      <c r="F31" s="672">
        <v>3.0209999999999999</v>
      </c>
      <c r="G31" s="672">
        <v>2.6021100000000001</v>
      </c>
      <c r="H31" s="672">
        <v>8.8948</v>
      </c>
      <c r="I31" s="709">
        <v>18.924655040000001</v>
      </c>
      <c r="J31" s="672">
        <v>56.540765759999999</v>
      </c>
      <c r="K31" s="671">
        <v>86.296869199999989</v>
      </c>
      <c r="L31" s="672">
        <v>110.10110520000001</v>
      </c>
      <c r="M31" s="671">
        <v>117.71219920000001</v>
      </c>
      <c r="N31" s="671">
        <v>140.4339392</v>
      </c>
      <c r="O31" s="671">
        <v>135.4152072</v>
      </c>
      <c r="P31" s="673">
        <v>84.721067199999993</v>
      </c>
      <c r="Q31" s="673">
        <v>34.371679999999998</v>
      </c>
      <c r="R31" s="673">
        <v>17.185839999999999</v>
      </c>
      <c r="S31" s="671">
        <v>0</v>
      </c>
      <c r="T31" s="671">
        <v>0</v>
      </c>
      <c r="U31" s="671">
        <v>0</v>
      </c>
      <c r="V31" s="665"/>
    </row>
    <row r="32" spans="1:26" ht="15" customHeight="1" x14ac:dyDescent="0.25">
      <c r="A32" s="309" t="s">
        <v>177</v>
      </c>
      <c r="B32" s="235"/>
      <c r="C32" s="287"/>
      <c r="D32" s="287"/>
      <c r="E32" s="360" t="s">
        <v>670</v>
      </c>
      <c r="F32" s="287"/>
      <c r="G32" s="373"/>
      <c r="H32" s="373"/>
      <c r="I32" s="16"/>
      <c r="J32" s="373"/>
      <c r="K32" s="373"/>
      <c r="L32" s="373"/>
      <c r="M32" s="373"/>
      <c r="N32" s="373"/>
      <c r="O32" s="287"/>
      <c r="P32" s="287"/>
      <c r="Q32" s="287"/>
      <c r="R32" s="287"/>
      <c r="S32" s="287"/>
      <c r="T32" s="287"/>
      <c r="U32" s="287"/>
      <c r="V32" s="664" t="s">
        <v>4</v>
      </c>
    </row>
    <row r="33" spans="1:33" ht="15" customHeight="1" x14ac:dyDescent="0.2">
      <c r="A33" s="284"/>
      <c r="B33" s="10"/>
      <c r="C33" s="429" t="s">
        <v>507</v>
      </c>
      <c r="D33" s="14"/>
      <c r="E33" s="692">
        <f>Control!F22</f>
        <v>0.5</v>
      </c>
      <c r="F33" s="195"/>
      <c r="G33" s="16"/>
      <c r="H33" s="16"/>
      <c r="I33" s="16">
        <f>$E$33*I7</f>
        <v>2.4500000000000002</v>
      </c>
      <c r="J33" s="16">
        <f t="shared" ref="J33:U33" si="13">$E$33*J7</f>
        <v>2.7</v>
      </c>
      <c r="K33" s="16">
        <f t="shared" si="13"/>
        <v>3.35</v>
      </c>
      <c r="L33" s="16">
        <f t="shared" si="13"/>
        <v>3.5</v>
      </c>
      <c r="M33" s="16">
        <f t="shared" si="13"/>
        <v>3.75</v>
      </c>
      <c r="N33" s="16">
        <f t="shared" si="13"/>
        <v>4</v>
      </c>
      <c r="O33" s="16">
        <f t="shared" si="13"/>
        <v>4.25</v>
      </c>
      <c r="P33" s="16">
        <f t="shared" si="13"/>
        <v>0</v>
      </c>
      <c r="Q33" s="16">
        <f t="shared" si="13"/>
        <v>0</v>
      </c>
      <c r="R33" s="16">
        <f t="shared" si="13"/>
        <v>0</v>
      </c>
      <c r="S33" s="16">
        <f t="shared" si="13"/>
        <v>0</v>
      </c>
      <c r="T33" s="16">
        <f t="shared" si="13"/>
        <v>0</v>
      </c>
      <c r="U33" s="16">
        <f t="shared" si="13"/>
        <v>0</v>
      </c>
      <c r="V33" s="426">
        <f t="shared" ref="V33:V38" si="14">SUM(I33:U33)</f>
        <v>24</v>
      </c>
    </row>
    <row r="34" spans="1:33" ht="15" customHeight="1" x14ac:dyDescent="0.2">
      <c r="A34" s="284"/>
      <c r="B34" s="10"/>
      <c r="C34" s="423" t="s">
        <v>512</v>
      </c>
      <c r="D34" s="14"/>
      <c r="E34" s="692">
        <f>Control!F23</f>
        <v>1</v>
      </c>
      <c r="F34" s="195"/>
      <c r="G34" s="16"/>
      <c r="H34" s="16"/>
      <c r="I34" s="16">
        <f>$E$34*I20</f>
        <v>14.024655040000001</v>
      </c>
      <c r="J34" s="16">
        <f t="shared" ref="J34:U34" si="15">$E$34*J20</f>
        <v>51.140765759999994</v>
      </c>
      <c r="K34" s="16">
        <f t="shared" si="15"/>
        <v>79.5968692</v>
      </c>
      <c r="L34" s="16">
        <f t="shared" si="15"/>
        <v>73.1219052</v>
      </c>
      <c r="M34" s="16">
        <f t="shared" si="15"/>
        <v>85.101715200000015</v>
      </c>
      <c r="N34" s="16">
        <f t="shared" si="15"/>
        <v>116.88944320000002</v>
      </c>
      <c r="O34" s="16">
        <f t="shared" si="15"/>
        <v>113.51917119999999</v>
      </c>
      <c r="P34" s="16">
        <f t="shared" si="15"/>
        <v>73.736851200000004</v>
      </c>
      <c r="Q34" s="16">
        <f t="shared" si="15"/>
        <v>50.667999999999999</v>
      </c>
      <c r="R34" s="16">
        <f t="shared" si="15"/>
        <v>35.334000000000003</v>
      </c>
      <c r="S34" s="16">
        <f t="shared" si="15"/>
        <v>20</v>
      </c>
      <c r="T34" s="16">
        <f t="shared" si="15"/>
        <v>20</v>
      </c>
      <c r="U34" s="16">
        <f t="shared" si="15"/>
        <v>20</v>
      </c>
      <c r="V34" s="426">
        <f t="shared" si="14"/>
        <v>753.133376</v>
      </c>
    </row>
    <row r="35" spans="1:33" ht="15" customHeight="1" x14ac:dyDescent="0.2">
      <c r="A35" s="284"/>
      <c r="B35" s="10"/>
      <c r="C35" s="423" t="s">
        <v>513</v>
      </c>
      <c r="D35" s="14"/>
      <c r="E35" s="692">
        <f>Control!F24</f>
        <v>1</v>
      </c>
      <c r="F35" s="195"/>
      <c r="G35" s="16"/>
      <c r="H35" s="16"/>
      <c r="I35" s="16">
        <f>$E$35*I21</f>
        <v>0</v>
      </c>
      <c r="J35" s="16">
        <f t="shared" ref="J35:U35" si="16">$E$35*J21</f>
        <v>0</v>
      </c>
      <c r="K35" s="16">
        <f t="shared" si="16"/>
        <v>0</v>
      </c>
      <c r="L35" s="16">
        <f t="shared" si="16"/>
        <v>26.91592</v>
      </c>
      <c r="M35" s="16">
        <f t="shared" si="16"/>
        <v>18.841144</v>
      </c>
      <c r="N35" s="16">
        <f t="shared" si="16"/>
        <v>8.074776</v>
      </c>
      <c r="O35" s="16">
        <f t="shared" si="16"/>
        <v>8.074776</v>
      </c>
      <c r="P35" s="16">
        <f t="shared" si="16"/>
        <v>8.074776</v>
      </c>
      <c r="Q35" s="16">
        <f t="shared" si="16"/>
        <v>0</v>
      </c>
      <c r="R35" s="16">
        <f t="shared" si="16"/>
        <v>0</v>
      </c>
      <c r="S35" s="16">
        <f t="shared" si="16"/>
        <v>0</v>
      </c>
      <c r="T35" s="16">
        <f t="shared" si="16"/>
        <v>0</v>
      </c>
      <c r="U35" s="16">
        <f t="shared" si="16"/>
        <v>0</v>
      </c>
      <c r="V35" s="426">
        <f t="shared" si="14"/>
        <v>69.981392</v>
      </c>
    </row>
    <row r="36" spans="1:33" ht="15" customHeight="1" x14ac:dyDescent="0.2">
      <c r="A36" s="444"/>
      <c r="B36" s="197"/>
      <c r="C36" s="445" t="s">
        <v>514</v>
      </c>
      <c r="D36" s="445"/>
      <c r="E36" s="693">
        <f>Control!F25</f>
        <v>0.5</v>
      </c>
      <c r="F36" s="269"/>
      <c r="G36" s="163"/>
      <c r="H36" s="163"/>
      <c r="I36" s="163">
        <f>$E$36*I28</f>
        <v>0</v>
      </c>
      <c r="J36" s="163">
        <f t="shared" ref="J36:U36" si="17">$E$36*J28</f>
        <v>0</v>
      </c>
      <c r="K36" s="163">
        <f t="shared" si="17"/>
        <v>0</v>
      </c>
      <c r="L36" s="163">
        <f t="shared" si="17"/>
        <v>1.5316400000000001</v>
      </c>
      <c r="M36" s="163">
        <f t="shared" si="17"/>
        <v>3.1346699999999998</v>
      </c>
      <c r="N36" s="163">
        <f t="shared" si="17"/>
        <v>3.7348599999999998</v>
      </c>
      <c r="O36" s="163">
        <f t="shared" si="17"/>
        <v>2.6606300000000003</v>
      </c>
      <c r="P36" s="163">
        <f t="shared" si="17"/>
        <v>1.45472</v>
      </c>
      <c r="Q36" s="163">
        <f t="shared" si="17"/>
        <v>1.8518400000000002</v>
      </c>
      <c r="R36" s="163">
        <f t="shared" si="17"/>
        <v>0.92592000000000008</v>
      </c>
      <c r="S36" s="163">
        <f t="shared" si="17"/>
        <v>0</v>
      </c>
      <c r="T36" s="163">
        <f t="shared" si="17"/>
        <v>0</v>
      </c>
      <c r="U36" s="163">
        <f t="shared" si="17"/>
        <v>0</v>
      </c>
      <c r="V36" s="426">
        <f t="shared" si="14"/>
        <v>15.294280000000002</v>
      </c>
    </row>
    <row r="37" spans="1:33" ht="15" customHeight="1" x14ac:dyDescent="0.2">
      <c r="A37" s="284"/>
      <c r="B37" s="10" t="s">
        <v>156</v>
      </c>
      <c r="C37" s="11"/>
      <c r="D37" s="11"/>
      <c r="E37" s="374">
        <f>SUM(G37:U37)</f>
        <v>862.40904799999998</v>
      </c>
      <c r="F37" s="195">
        <f t="shared" ref="F37:U37" si="18">SUM(F33:F36)</f>
        <v>0</v>
      </c>
      <c r="G37" s="195">
        <f t="shared" si="18"/>
        <v>0</v>
      </c>
      <c r="H37" s="195">
        <f t="shared" si="18"/>
        <v>0</v>
      </c>
      <c r="I37" s="195">
        <f t="shared" si="18"/>
        <v>16.474655040000002</v>
      </c>
      <c r="J37" s="195">
        <f t="shared" si="18"/>
        <v>53.840765759999996</v>
      </c>
      <c r="K37" s="195">
        <f t="shared" si="18"/>
        <v>82.946869199999995</v>
      </c>
      <c r="L37" s="195">
        <f t="shared" si="18"/>
        <v>105.0694652</v>
      </c>
      <c r="M37" s="195">
        <f t="shared" si="18"/>
        <v>110.82752920000001</v>
      </c>
      <c r="N37" s="195">
        <f t="shared" si="18"/>
        <v>132.6990792</v>
      </c>
      <c r="O37" s="195">
        <f t="shared" si="18"/>
        <v>128.5045772</v>
      </c>
      <c r="P37" s="195">
        <f t="shared" si="18"/>
        <v>83.266347199999998</v>
      </c>
      <c r="Q37" s="195">
        <f t="shared" si="18"/>
        <v>52.519840000000002</v>
      </c>
      <c r="R37" s="195">
        <f t="shared" si="18"/>
        <v>36.259920000000001</v>
      </c>
      <c r="S37" s="195">
        <f t="shared" si="18"/>
        <v>20</v>
      </c>
      <c r="T37" s="195">
        <f t="shared" si="18"/>
        <v>20</v>
      </c>
      <c r="U37" s="195">
        <f t="shared" si="18"/>
        <v>20</v>
      </c>
      <c r="V37" s="426">
        <f t="shared" si="14"/>
        <v>862.40904799999998</v>
      </c>
    </row>
    <row r="38" spans="1:33" ht="15" customHeight="1" x14ac:dyDescent="0.2">
      <c r="A38" s="290"/>
      <c r="B38" s="197" t="s">
        <v>157</v>
      </c>
      <c r="C38" s="21"/>
      <c r="D38" s="21"/>
      <c r="E38" s="375">
        <f>SUM(G38:U38)</f>
        <v>39.294280000000043</v>
      </c>
      <c r="F38" s="21"/>
      <c r="G38" s="375"/>
      <c r="H38" s="375"/>
      <c r="I38" s="375">
        <f>I30-I37</f>
        <v>2.4499999999999993</v>
      </c>
      <c r="J38" s="375">
        <f t="shared" ref="J38:U38" si="19">J30-J37</f>
        <v>2.6999999999999957</v>
      </c>
      <c r="K38" s="375">
        <f t="shared" si="19"/>
        <v>3.3500000000000085</v>
      </c>
      <c r="L38" s="375">
        <f t="shared" si="19"/>
        <v>5.0316400000000101</v>
      </c>
      <c r="M38" s="375">
        <f t="shared" si="19"/>
        <v>6.8846699999999998</v>
      </c>
      <c r="N38" s="375">
        <f t="shared" si="19"/>
        <v>7.734860000000026</v>
      </c>
      <c r="O38" s="375">
        <f t="shared" si="19"/>
        <v>6.9106299999999976</v>
      </c>
      <c r="P38" s="375">
        <f t="shared" si="19"/>
        <v>1.4547200000000089</v>
      </c>
      <c r="Q38" s="375">
        <f t="shared" si="19"/>
        <v>1.8518399999999957</v>
      </c>
      <c r="R38" s="375">
        <f t="shared" si="19"/>
        <v>0.92592000000000496</v>
      </c>
      <c r="S38" s="375">
        <f t="shared" si="19"/>
        <v>0</v>
      </c>
      <c r="T38" s="375">
        <f t="shared" si="19"/>
        <v>0</v>
      </c>
      <c r="U38" s="375">
        <f t="shared" si="19"/>
        <v>0</v>
      </c>
      <c r="V38" s="426">
        <f t="shared" si="14"/>
        <v>39.294280000000043</v>
      </c>
    </row>
    <row r="39" spans="1:33" ht="15" customHeight="1" x14ac:dyDescent="0.2">
      <c r="E39" s="269"/>
      <c r="F39" s="21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665"/>
    </row>
    <row r="40" spans="1:33" ht="15" customHeight="1" x14ac:dyDescent="0.25">
      <c r="A40" s="309" t="s">
        <v>137</v>
      </c>
      <c r="B40" s="287"/>
      <c r="C40" s="287"/>
      <c r="D40" s="287"/>
      <c r="E40" s="11"/>
      <c r="F40" s="243"/>
      <c r="G40" s="442"/>
      <c r="H40" s="442"/>
      <c r="I40" s="442" t="s">
        <v>84</v>
      </c>
      <c r="J40" s="442" t="s">
        <v>84</v>
      </c>
      <c r="K40" s="442" t="s">
        <v>3</v>
      </c>
      <c r="L40" s="370" t="s">
        <v>1</v>
      </c>
      <c r="M40" s="287"/>
      <c r="N40" s="372"/>
      <c r="O40" s="287"/>
      <c r="P40" s="287"/>
      <c r="Q40" s="287"/>
      <c r="R40" s="287"/>
      <c r="S40" s="287"/>
      <c r="T40" s="287"/>
      <c r="U40" s="287"/>
      <c r="V40" s="665"/>
    </row>
    <row r="41" spans="1:33" ht="15" customHeight="1" x14ac:dyDescent="0.2">
      <c r="A41" s="284"/>
      <c r="B41" s="311" t="s">
        <v>203</v>
      </c>
      <c r="C41" s="11"/>
      <c r="D41" s="51"/>
      <c r="F41" s="517"/>
      <c r="G41" s="517"/>
      <c r="H41" s="440"/>
      <c r="I41" s="440">
        <f>I3</f>
        <v>2009</v>
      </c>
      <c r="J41" s="517">
        <f>J3</f>
        <v>2010</v>
      </c>
      <c r="K41" s="517">
        <f>K3</f>
        <v>2011</v>
      </c>
      <c r="L41" s="517">
        <f>L3</f>
        <v>2012</v>
      </c>
      <c r="M41" s="517">
        <f>M3</f>
        <v>2013</v>
      </c>
      <c r="N41" s="517">
        <f>N3</f>
        <v>2014</v>
      </c>
      <c r="O41" s="517">
        <f>O3</f>
        <v>2015</v>
      </c>
      <c r="P41" s="517">
        <f>P3</f>
        <v>2016</v>
      </c>
      <c r="Q41" s="517">
        <f>Q3</f>
        <v>2017</v>
      </c>
      <c r="R41" s="517">
        <f>R3</f>
        <v>2018</v>
      </c>
      <c r="S41" s="517">
        <f>S3</f>
        <v>2019</v>
      </c>
      <c r="T41" s="517">
        <f>T3</f>
        <v>2020</v>
      </c>
      <c r="U41" s="517">
        <f>U3</f>
        <v>2021</v>
      </c>
      <c r="V41" s="664" t="s">
        <v>4</v>
      </c>
    </row>
    <row r="42" spans="1:33" ht="15" customHeight="1" x14ac:dyDescent="0.2">
      <c r="A42" s="284"/>
      <c r="B42" s="311"/>
      <c r="C42" s="707" t="s">
        <v>501</v>
      </c>
      <c r="D42" s="145"/>
      <c r="F42" s="195"/>
      <c r="G42" s="195"/>
      <c r="H42" s="195"/>
      <c r="I42" s="195">
        <f>I7</f>
        <v>4.9000000000000004</v>
      </c>
      <c r="J42" s="195">
        <f>J7</f>
        <v>5.4</v>
      </c>
      <c r="K42" s="195">
        <f>K7</f>
        <v>6.7</v>
      </c>
      <c r="L42" s="195">
        <f>L7</f>
        <v>7</v>
      </c>
      <c r="M42" s="195">
        <f>M7</f>
        <v>7.5</v>
      </c>
      <c r="N42" s="195">
        <f>N7</f>
        <v>8</v>
      </c>
      <c r="O42" s="195">
        <f>O7</f>
        <v>8.5</v>
      </c>
      <c r="P42" s="195">
        <f>P7</f>
        <v>0</v>
      </c>
      <c r="Q42" s="195">
        <f>Q7</f>
        <v>0</v>
      </c>
      <c r="R42" s="195">
        <f>R7</f>
        <v>0</v>
      </c>
      <c r="S42" s="195">
        <f>S7</f>
        <v>0</v>
      </c>
      <c r="T42" s="195">
        <f>T7</f>
        <v>0</v>
      </c>
      <c r="U42" s="195">
        <f>U7</f>
        <v>0</v>
      </c>
      <c r="V42" s="426">
        <f t="shared" ref="V42:V46" si="20">SUM(I42:U42)</f>
        <v>48</v>
      </c>
    </row>
    <row r="43" spans="1:33" ht="15" customHeight="1" x14ac:dyDescent="0.2">
      <c r="A43" s="284"/>
      <c r="B43" s="11"/>
      <c r="C43" s="423" t="s">
        <v>512</v>
      </c>
      <c r="D43" s="145"/>
      <c r="F43" s="195"/>
      <c r="G43" s="195"/>
      <c r="H43" s="195"/>
      <c r="I43" s="195">
        <f>I20</f>
        <v>14.024655040000001</v>
      </c>
      <c r="J43" s="195">
        <f>J20</f>
        <v>51.140765759999994</v>
      </c>
      <c r="K43" s="195">
        <f>K20</f>
        <v>79.5968692</v>
      </c>
      <c r="L43" s="195">
        <f>L20</f>
        <v>73.1219052</v>
      </c>
      <c r="M43" s="195">
        <f>M20</f>
        <v>85.101715200000015</v>
      </c>
      <c r="N43" s="195">
        <f>N20</f>
        <v>116.88944320000002</v>
      </c>
      <c r="O43" s="195">
        <f>O20</f>
        <v>113.51917119999999</v>
      </c>
      <c r="P43" s="195">
        <f>P20</f>
        <v>73.736851200000004</v>
      </c>
      <c r="Q43" s="195">
        <f>Q20</f>
        <v>50.667999999999999</v>
      </c>
      <c r="R43" s="195">
        <f>R20</f>
        <v>35.334000000000003</v>
      </c>
      <c r="S43" s="195">
        <f>S20</f>
        <v>20</v>
      </c>
      <c r="T43" s="195">
        <f>T20</f>
        <v>20</v>
      </c>
      <c r="U43" s="195">
        <f>U20</f>
        <v>20</v>
      </c>
      <c r="V43" s="426">
        <f t="shared" si="20"/>
        <v>753.133376</v>
      </c>
    </row>
    <row r="44" spans="1:33" ht="15" customHeight="1" x14ac:dyDescent="0.2">
      <c r="A44" s="284"/>
      <c r="B44" s="11"/>
      <c r="C44" s="423" t="s">
        <v>513</v>
      </c>
      <c r="D44" s="145"/>
      <c r="F44" s="195"/>
      <c r="G44" s="195"/>
      <c r="H44" s="195"/>
      <c r="I44" s="195">
        <f>I21</f>
        <v>0</v>
      </c>
      <c r="J44" s="195">
        <f>J21</f>
        <v>0</v>
      </c>
      <c r="K44" s="195">
        <f>K21</f>
        <v>0</v>
      </c>
      <c r="L44" s="195">
        <f>L21</f>
        <v>26.91592</v>
      </c>
      <c r="M44" s="195">
        <f>M21</f>
        <v>18.841144</v>
      </c>
      <c r="N44" s="195">
        <f>N21</f>
        <v>8.074776</v>
      </c>
      <c r="O44" s="195">
        <f>O21</f>
        <v>8.074776</v>
      </c>
      <c r="P44" s="195">
        <f>P21</f>
        <v>8.074776</v>
      </c>
      <c r="Q44" s="195">
        <f>Q21</f>
        <v>0</v>
      </c>
      <c r="R44" s="195">
        <f>R21</f>
        <v>0</v>
      </c>
      <c r="S44" s="195">
        <f>S21</f>
        <v>0</v>
      </c>
      <c r="T44" s="195">
        <f>T21</f>
        <v>0</v>
      </c>
      <c r="U44" s="195">
        <f>U21</f>
        <v>0</v>
      </c>
      <c r="V44" s="426">
        <f t="shared" si="20"/>
        <v>69.981392</v>
      </c>
    </row>
    <row r="45" spans="1:33" ht="15" customHeight="1" x14ac:dyDescent="0.2">
      <c r="A45" s="290"/>
      <c r="B45" s="21"/>
      <c r="C45" s="445" t="s">
        <v>514</v>
      </c>
      <c r="D45" s="162"/>
      <c r="E45" s="21"/>
      <c r="F45" s="269"/>
      <c r="G45" s="269"/>
      <c r="H45" s="269"/>
      <c r="I45" s="269">
        <f>I28</f>
        <v>0</v>
      </c>
      <c r="J45" s="269">
        <f>J28</f>
        <v>0</v>
      </c>
      <c r="K45" s="269">
        <f>K28</f>
        <v>0</v>
      </c>
      <c r="L45" s="269">
        <f>L28</f>
        <v>3.0632800000000002</v>
      </c>
      <c r="M45" s="269">
        <f>M28</f>
        <v>6.2693399999999997</v>
      </c>
      <c r="N45" s="269">
        <f>N28</f>
        <v>7.4697199999999997</v>
      </c>
      <c r="O45" s="269">
        <f>O28</f>
        <v>5.3212600000000005</v>
      </c>
      <c r="P45" s="269">
        <f>P28</f>
        <v>2.90944</v>
      </c>
      <c r="Q45" s="269">
        <f>Q28</f>
        <v>3.7036800000000003</v>
      </c>
      <c r="R45" s="269">
        <f>R28</f>
        <v>1.8518400000000002</v>
      </c>
      <c r="S45" s="269">
        <f>S28</f>
        <v>0</v>
      </c>
      <c r="T45" s="269">
        <f>T28</f>
        <v>0</v>
      </c>
      <c r="U45" s="269">
        <f>U28</f>
        <v>0</v>
      </c>
      <c r="V45" s="426">
        <f t="shared" si="20"/>
        <v>30.588560000000005</v>
      </c>
    </row>
    <row r="46" spans="1:33" ht="15" customHeight="1" x14ac:dyDescent="0.2">
      <c r="A46" s="290"/>
      <c r="B46" s="197" t="s">
        <v>252</v>
      </c>
      <c r="C46" s="21"/>
      <c r="D46" s="711"/>
      <c r="E46" s="712"/>
      <c r="F46" s="163"/>
      <c r="G46" s="163"/>
      <c r="H46" s="163"/>
      <c r="I46" s="163">
        <f t="shared" ref="I46:U46" si="21">SUM(I42:I45)</f>
        <v>18.924655040000001</v>
      </c>
      <c r="J46" s="163">
        <f t="shared" si="21"/>
        <v>56.540765759999992</v>
      </c>
      <c r="K46" s="163">
        <f t="shared" si="21"/>
        <v>86.296869200000003</v>
      </c>
      <c r="L46" s="163">
        <f t="shared" si="21"/>
        <v>110.10110520000001</v>
      </c>
      <c r="M46" s="163">
        <f t="shared" si="21"/>
        <v>117.71219920000001</v>
      </c>
      <c r="N46" s="163">
        <f t="shared" si="21"/>
        <v>140.4339392</v>
      </c>
      <c r="O46" s="163">
        <f t="shared" si="21"/>
        <v>135.4152072</v>
      </c>
      <c r="P46" s="163">
        <f t="shared" si="21"/>
        <v>84.721067200000007</v>
      </c>
      <c r="Q46" s="163">
        <f t="shared" si="21"/>
        <v>54.371679999999998</v>
      </c>
      <c r="R46" s="163">
        <f t="shared" si="21"/>
        <v>37.185840000000006</v>
      </c>
      <c r="S46" s="163">
        <f t="shared" si="21"/>
        <v>20</v>
      </c>
      <c r="T46" s="163">
        <f t="shared" si="21"/>
        <v>20</v>
      </c>
      <c r="U46" s="163">
        <f t="shared" si="21"/>
        <v>20</v>
      </c>
      <c r="V46" s="426">
        <f t="shared" si="20"/>
        <v>901.70332799999983</v>
      </c>
    </row>
    <row r="47" spans="1:33" ht="15" customHeight="1" x14ac:dyDescent="0.25">
      <c r="A47" s="119"/>
      <c r="E47" s="671"/>
      <c r="F47" s="671"/>
      <c r="G47" s="671"/>
      <c r="H47" s="671"/>
      <c r="I47" s="671"/>
      <c r="J47" s="671"/>
      <c r="K47" s="671"/>
      <c r="L47" s="671"/>
      <c r="M47" s="671"/>
      <c r="N47" s="671"/>
      <c r="O47" s="671"/>
      <c r="P47" s="671"/>
      <c r="Q47" s="671"/>
      <c r="R47" s="671"/>
      <c r="S47" s="671"/>
      <c r="T47" s="671"/>
      <c r="U47" s="671"/>
      <c r="V47" s="665"/>
    </row>
    <row r="48" spans="1:33" ht="15" customHeight="1" x14ac:dyDescent="0.25">
      <c r="A48" s="931" t="s">
        <v>136</v>
      </c>
      <c r="B48" s="665"/>
      <c r="C48" s="665"/>
      <c r="D48" s="665"/>
      <c r="E48" s="665"/>
      <c r="F48" s="957"/>
      <c r="G48" s="958"/>
      <c r="H48" s="958"/>
      <c r="I48" s="958"/>
      <c r="J48" s="958"/>
      <c r="K48" s="959"/>
      <c r="L48" s="958"/>
      <c r="M48" s="959"/>
      <c r="N48" s="959"/>
      <c r="O48" s="959"/>
      <c r="P48" s="960"/>
      <c r="Q48" s="959"/>
      <c r="R48" s="959"/>
      <c r="S48" s="959"/>
      <c r="T48" s="665"/>
      <c r="U48" s="665"/>
      <c r="V48" s="665"/>
      <c r="W48" s="665"/>
      <c r="X48" s="665"/>
      <c r="Y48" s="665"/>
      <c r="Z48" s="665"/>
      <c r="AA48" s="665"/>
      <c r="AB48" s="665"/>
      <c r="AC48" s="665"/>
      <c r="AD48" s="665"/>
      <c r="AE48" s="665"/>
      <c r="AF48" s="665"/>
      <c r="AG48" s="665"/>
    </row>
    <row r="49" spans="1:33" ht="15" customHeight="1" x14ac:dyDescent="0.25">
      <c r="A49" s="961"/>
      <c r="B49" s="665"/>
      <c r="C49" s="962" t="s">
        <v>503</v>
      </c>
      <c r="D49" s="959" t="s">
        <v>291</v>
      </c>
      <c r="E49" s="959" t="s">
        <v>449</v>
      </c>
      <c r="F49" s="959" t="s">
        <v>450</v>
      </c>
      <c r="G49" s="959" t="s">
        <v>361</v>
      </c>
      <c r="H49" s="959" t="s">
        <v>236</v>
      </c>
      <c r="I49" s="959" t="s">
        <v>360</v>
      </c>
      <c r="J49" s="959" t="s">
        <v>451</v>
      </c>
      <c r="K49" s="959" t="s">
        <v>452</v>
      </c>
      <c r="L49" s="959" t="s">
        <v>453</v>
      </c>
      <c r="M49" s="959" t="s">
        <v>454</v>
      </c>
      <c r="N49" s="959" t="s">
        <v>455</v>
      </c>
      <c r="O49" s="959" t="s">
        <v>456</v>
      </c>
      <c r="P49" s="959" t="s">
        <v>365</v>
      </c>
      <c r="Q49" s="959" t="s">
        <v>457</v>
      </c>
      <c r="R49" s="959" t="s">
        <v>458</v>
      </c>
      <c r="S49" s="959" t="s">
        <v>235</v>
      </c>
      <c r="T49" s="959" t="s">
        <v>4</v>
      </c>
      <c r="U49" s="959">
        <v>2009</v>
      </c>
      <c r="V49" s="959">
        <v>2010</v>
      </c>
      <c r="W49" s="959">
        <v>2011</v>
      </c>
      <c r="X49" s="959">
        <v>2012</v>
      </c>
      <c r="Y49" s="959">
        <v>2013</v>
      </c>
      <c r="Z49" s="959">
        <v>2014</v>
      </c>
      <c r="AA49" s="959">
        <v>2015</v>
      </c>
      <c r="AB49" s="959">
        <v>2016</v>
      </c>
      <c r="AC49" s="959">
        <f>AB49+1</f>
        <v>2017</v>
      </c>
      <c r="AD49" s="959">
        <f t="shared" ref="AD49:AG49" si="22">AC49+1</f>
        <v>2018</v>
      </c>
      <c r="AE49" s="959">
        <f t="shared" si="22"/>
        <v>2019</v>
      </c>
      <c r="AF49" s="959">
        <f t="shared" si="22"/>
        <v>2020</v>
      </c>
      <c r="AG49" s="959">
        <f t="shared" si="22"/>
        <v>2021</v>
      </c>
    </row>
    <row r="50" spans="1:33" ht="15" customHeight="1" x14ac:dyDescent="0.25">
      <c r="A50" s="961"/>
      <c r="B50" s="665"/>
      <c r="C50" s="963" t="s">
        <v>461</v>
      </c>
      <c r="D50" s="964"/>
      <c r="E50" s="964" t="s">
        <v>462</v>
      </c>
      <c r="F50" s="959"/>
      <c r="G50" s="665"/>
      <c r="H50" s="665"/>
      <c r="I50" s="959" t="s">
        <v>459</v>
      </c>
      <c r="J50" s="665" t="s">
        <v>460</v>
      </c>
      <c r="K50" s="665"/>
      <c r="L50" s="665"/>
      <c r="M50" s="665"/>
      <c r="N50" s="959" t="s">
        <v>243</v>
      </c>
      <c r="O50" s="665"/>
      <c r="P50" s="665"/>
      <c r="Q50" s="665"/>
      <c r="R50" s="665"/>
      <c r="S50" s="959" t="s">
        <v>243</v>
      </c>
      <c r="T50" s="959" t="s">
        <v>243</v>
      </c>
      <c r="U50" s="665"/>
      <c r="V50" s="665"/>
      <c r="W50" s="665"/>
      <c r="X50" s="665"/>
      <c r="Y50" s="665"/>
      <c r="Z50" s="665"/>
      <c r="AA50" s="665"/>
      <c r="AB50" s="665"/>
      <c r="AC50" s="665"/>
      <c r="AD50" s="665"/>
      <c r="AE50" s="665"/>
      <c r="AF50" s="665"/>
      <c r="AG50" s="665"/>
    </row>
    <row r="51" spans="1:33" ht="15" customHeight="1" x14ac:dyDescent="0.25">
      <c r="A51" s="961"/>
      <c r="B51" s="665"/>
      <c r="C51" s="964" t="s">
        <v>463</v>
      </c>
      <c r="D51" s="665" t="s">
        <v>295</v>
      </c>
      <c r="E51" s="964" t="s">
        <v>464</v>
      </c>
      <c r="F51" s="959"/>
      <c r="G51" s="959" t="s">
        <v>465</v>
      </c>
      <c r="H51" s="959">
        <v>21</v>
      </c>
      <c r="I51" s="959">
        <v>3</v>
      </c>
      <c r="J51" s="965">
        <v>39234</v>
      </c>
      <c r="K51" s="965">
        <v>39783</v>
      </c>
      <c r="L51" s="965"/>
      <c r="M51" s="966">
        <v>50</v>
      </c>
      <c r="N51" s="967">
        <f>H51*M51/1000</f>
        <v>1.05</v>
      </c>
      <c r="O51" s="968">
        <f>(30+90+160+250+350+450+600)*3</f>
        <v>5790</v>
      </c>
      <c r="P51" s="968">
        <f>I51*30</f>
        <v>90</v>
      </c>
      <c r="Q51" s="967">
        <f>O51*P51/1000000</f>
        <v>0.52110000000000001</v>
      </c>
      <c r="R51" s="968">
        <v>100000</v>
      </c>
      <c r="S51" s="967">
        <f>Q51*R51/1000000</f>
        <v>5.2109999999999997E-2</v>
      </c>
      <c r="T51" s="967">
        <f>S51+N51</f>
        <v>1.1021100000000001</v>
      </c>
      <c r="U51" s="959"/>
      <c r="V51" s="665"/>
      <c r="W51" s="665"/>
      <c r="X51" s="665"/>
      <c r="Y51" s="665"/>
      <c r="Z51" s="665"/>
      <c r="AA51" s="665"/>
      <c r="AB51" s="665"/>
      <c r="AC51" s="665"/>
      <c r="AD51" s="665"/>
      <c r="AE51" s="665"/>
      <c r="AF51" s="665"/>
      <c r="AG51" s="665"/>
    </row>
    <row r="52" spans="1:33" ht="15" customHeight="1" x14ac:dyDescent="0.25">
      <c r="A52" s="961"/>
      <c r="B52" s="665"/>
      <c r="C52" s="969" t="s">
        <v>466</v>
      </c>
      <c r="D52" s="964" t="s">
        <v>295</v>
      </c>
      <c r="E52" s="964" t="s">
        <v>464</v>
      </c>
      <c r="F52" s="959"/>
      <c r="G52" s="959" t="s">
        <v>465</v>
      </c>
      <c r="H52" s="959">
        <v>120</v>
      </c>
      <c r="I52" s="959">
        <v>3</v>
      </c>
      <c r="J52" s="970">
        <v>39356</v>
      </c>
      <c r="K52" s="965"/>
      <c r="L52" s="965">
        <v>39965</v>
      </c>
      <c r="M52" s="966">
        <v>50</v>
      </c>
      <c r="N52" s="967">
        <f t="shared" ref="N52:N66" si="23">H52*M52/1000</f>
        <v>6</v>
      </c>
      <c r="O52" s="968">
        <f>(30+90+160+250+350+450+600)*40</f>
        <v>77200</v>
      </c>
      <c r="P52" s="968">
        <f>I52*30</f>
        <v>90</v>
      </c>
      <c r="Q52" s="967">
        <f>O52*P52/1000000</f>
        <v>6.9480000000000004</v>
      </c>
      <c r="R52" s="968">
        <v>100000</v>
      </c>
      <c r="S52" s="967">
        <f t="shared" ref="S52:S60" si="24">Q52*R52/1000000</f>
        <v>0.69479999999999997</v>
      </c>
      <c r="T52" s="967">
        <f t="shared" ref="T52:T66" si="25">S52+N52</f>
        <v>6.6947999999999999</v>
      </c>
      <c r="U52" s="671"/>
      <c r="V52" s="665"/>
      <c r="W52" s="665"/>
      <c r="X52" s="665"/>
      <c r="Y52" s="665"/>
      <c r="Z52" s="665"/>
      <c r="AA52" s="665"/>
      <c r="AB52" s="665"/>
      <c r="AC52" s="665"/>
      <c r="AD52" s="665"/>
      <c r="AE52" s="665"/>
      <c r="AF52" s="665"/>
      <c r="AG52" s="665"/>
    </row>
    <row r="53" spans="1:33" ht="15" customHeight="1" x14ac:dyDescent="0.25">
      <c r="A53" s="961"/>
      <c r="B53" s="665"/>
      <c r="C53" s="971" t="s">
        <v>467</v>
      </c>
      <c r="D53" s="964" t="s">
        <v>468</v>
      </c>
      <c r="E53" s="959" t="s">
        <v>469</v>
      </c>
      <c r="F53" s="959" t="s">
        <v>470</v>
      </c>
      <c r="G53" s="959" t="s">
        <v>471</v>
      </c>
      <c r="H53" s="959">
        <v>1199</v>
      </c>
      <c r="I53" s="959">
        <v>6.6</v>
      </c>
      <c r="J53" s="965">
        <v>40057</v>
      </c>
      <c r="K53" s="959"/>
      <c r="L53" s="965">
        <v>40848</v>
      </c>
      <c r="M53" s="966">
        <v>50</v>
      </c>
      <c r="N53" s="967">
        <f t="shared" si="23"/>
        <v>59.95</v>
      </c>
      <c r="O53" s="968">
        <f t="shared" ref="O53:O60" si="26">H53*160</f>
        <v>191840</v>
      </c>
      <c r="P53" s="968">
        <f>I53*30</f>
        <v>198</v>
      </c>
      <c r="Q53" s="967">
        <f t="shared" ref="Q53:Q60" si="27">O53*P53/1000000</f>
        <v>37.984319999999997</v>
      </c>
      <c r="R53" s="968">
        <v>100000</v>
      </c>
      <c r="S53" s="967">
        <f t="shared" si="24"/>
        <v>3.7984319999999996</v>
      </c>
      <c r="T53" s="967">
        <f t="shared" si="25"/>
        <v>63.748432000000001</v>
      </c>
      <c r="U53" s="959">
        <v>0.22</v>
      </c>
      <c r="V53" s="959">
        <v>0.43</v>
      </c>
      <c r="W53" s="959">
        <v>0.35</v>
      </c>
      <c r="X53" s="665"/>
      <c r="Y53" s="665"/>
      <c r="Z53" s="665"/>
      <c r="AA53" s="665"/>
      <c r="AB53" s="665"/>
      <c r="AC53" s="665"/>
      <c r="AD53" s="665"/>
      <c r="AE53" s="665"/>
      <c r="AF53" s="665"/>
      <c r="AG53" s="665"/>
    </row>
    <row r="54" spans="1:33" ht="15" customHeight="1" x14ac:dyDescent="0.25">
      <c r="A54" s="961"/>
      <c r="B54" s="665"/>
      <c r="C54" s="971" t="s">
        <v>472</v>
      </c>
      <c r="D54" s="964" t="s">
        <v>473</v>
      </c>
      <c r="E54" s="959" t="s">
        <v>469</v>
      </c>
      <c r="F54" s="959" t="s">
        <v>474</v>
      </c>
      <c r="G54" s="959" t="s">
        <v>471</v>
      </c>
      <c r="H54" s="959">
        <v>1717</v>
      </c>
      <c r="I54" s="959">
        <v>11</v>
      </c>
      <c r="J54" s="965">
        <v>40422</v>
      </c>
      <c r="K54" s="959"/>
      <c r="L54" s="965">
        <v>41548</v>
      </c>
      <c r="M54" s="966">
        <v>50</v>
      </c>
      <c r="N54" s="967">
        <f t="shared" si="23"/>
        <v>85.85</v>
      </c>
      <c r="O54" s="968">
        <f t="shared" si="26"/>
        <v>274720</v>
      </c>
      <c r="P54" s="968">
        <f>I54*30</f>
        <v>330</v>
      </c>
      <c r="Q54" s="967">
        <f t="shared" si="27"/>
        <v>90.657600000000002</v>
      </c>
      <c r="R54" s="968">
        <v>100000</v>
      </c>
      <c r="S54" s="967">
        <f t="shared" si="24"/>
        <v>9.0657599999999992</v>
      </c>
      <c r="T54" s="967">
        <f t="shared" si="25"/>
        <v>94.915759999999992</v>
      </c>
      <c r="U54" s="665"/>
      <c r="V54" s="959">
        <v>0.25</v>
      </c>
      <c r="W54" s="959">
        <v>0.55000000000000004</v>
      </c>
      <c r="X54" s="959">
        <v>0.2</v>
      </c>
      <c r="Y54" s="959">
        <v>0</v>
      </c>
      <c r="Z54" s="665"/>
      <c r="AA54" s="665"/>
      <c r="AB54" s="665"/>
      <c r="AC54" s="665"/>
      <c r="AD54" s="665"/>
      <c r="AE54" s="665"/>
      <c r="AF54" s="665"/>
      <c r="AG54" s="665"/>
    </row>
    <row r="55" spans="1:33" ht="15" customHeight="1" x14ac:dyDescent="0.25">
      <c r="A55" s="961"/>
      <c r="B55" s="665"/>
      <c r="C55" s="971" t="s">
        <v>475</v>
      </c>
      <c r="D55" s="964" t="s">
        <v>473</v>
      </c>
      <c r="E55" s="959" t="s">
        <v>476</v>
      </c>
      <c r="F55" s="959" t="s">
        <v>474</v>
      </c>
      <c r="G55" s="972" t="s">
        <v>471</v>
      </c>
      <c r="H55" s="959">
        <f>IF($G$2=1,2*375,375)</f>
        <v>375</v>
      </c>
      <c r="I55" s="959">
        <f>17.5/2</f>
        <v>8.75</v>
      </c>
      <c r="J55" s="965">
        <v>40603</v>
      </c>
      <c r="K55" s="965">
        <v>41456</v>
      </c>
      <c r="L55" s="965">
        <v>42005</v>
      </c>
      <c r="M55" s="966">
        <v>50</v>
      </c>
      <c r="N55" s="967">
        <f t="shared" si="23"/>
        <v>18.75</v>
      </c>
      <c r="O55" s="968">
        <f t="shared" si="26"/>
        <v>60000</v>
      </c>
      <c r="P55" s="968">
        <f>I55*30</f>
        <v>262.5</v>
      </c>
      <c r="Q55" s="967">
        <f t="shared" si="27"/>
        <v>15.75</v>
      </c>
      <c r="R55" s="968">
        <v>100000</v>
      </c>
      <c r="S55" s="967">
        <f t="shared" si="24"/>
        <v>1.575</v>
      </c>
      <c r="T55" s="967">
        <f t="shared" si="25"/>
        <v>20.324999999999999</v>
      </c>
      <c r="U55" s="671"/>
      <c r="V55" s="665"/>
      <c r="W55" s="959">
        <v>0.25</v>
      </c>
      <c r="X55" s="959">
        <v>0.25</v>
      </c>
      <c r="Y55" s="959">
        <v>0.5</v>
      </c>
      <c r="Z55" s="959">
        <v>0</v>
      </c>
      <c r="AA55" s="665"/>
      <c r="AB55" s="665"/>
      <c r="AC55" s="665"/>
      <c r="AD55" s="665"/>
      <c r="AE55" s="665"/>
      <c r="AF55" s="665"/>
      <c r="AG55" s="665"/>
    </row>
    <row r="56" spans="1:33" ht="15" customHeight="1" x14ac:dyDescent="0.25">
      <c r="A56" s="961"/>
      <c r="B56" s="665"/>
      <c r="C56" s="971" t="s">
        <v>477</v>
      </c>
      <c r="D56" s="665" t="s">
        <v>478</v>
      </c>
      <c r="E56" s="959" t="s">
        <v>476</v>
      </c>
      <c r="F56" s="959" t="s">
        <v>474</v>
      </c>
      <c r="G56" s="972" t="s">
        <v>471</v>
      </c>
      <c r="H56" s="959">
        <f>IF($G$2=1,2*396,396)</f>
        <v>396</v>
      </c>
      <c r="I56" s="959">
        <f>23.1/2</f>
        <v>11.55</v>
      </c>
      <c r="J56" s="965">
        <v>41122</v>
      </c>
      <c r="K56" s="965">
        <v>41699</v>
      </c>
      <c r="L56" s="965">
        <v>42095</v>
      </c>
      <c r="M56" s="966">
        <v>50</v>
      </c>
      <c r="N56" s="967">
        <f t="shared" si="23"/>
        <v>19.8</v>
      </c>
      <c r="O56" s="968">
        <f t="shared" si="26"/>
        <v>63360</v>
      </c>
      <c r="P56" s="968">
        <f t="shared" ref="P56:P63" si="28">I56*30</f>
        <v>346.5</v>
      </c>
      <c r="Q56" s="967">
        <f t="shared" si="27"/>
        <v>21.954239999999999</v>
      </c>
      <c r="R56" s="968">
        <v>100000</v>
      </c>
      <c r="S56" s="967">
        <f t="shared" si="24"/>
        <v>2.195424</v>
      </c>
      <c r="T56" s="967">
        <f t="shared" si="25"/>
        <v>21.995424</v>
      </c>
      <c r="U56" s="665"/>
      <c r="V56" s="665"/>
      <c r="W56" s="665"/>
      <c r="X56" s="959">
        <v>0.5</v>
      </c>
      <c r="Y56" s="959">
        <v>0.5</v>
      </c>
      <c r="Z56" s="959">
        <v>0</v>
      </c>
      <c r="AA56" s="665"/>
      <c r="AB56" s="665"/>
      <c r="AC56" s="665"/>
      <c r="AD56" s="665"/>
      <c r="AE56" s="665"/>
      <c r="AF56" s="665"/>
      <c r="AG56" s="665"/>
    </row>
    <row r="57" spans="1:33" ht="15" customHeight="1" x14ac:dyDescent="0.25">
      <c r="A57" s="961"/>
      <c r="B57" s="665"/>
      <c r="C57" s="971" t="s">
        <v>479</v>
      </c>
      <c r="D57" s="964" t="s">
        <v>473</v>
      </c>
      <c r="E57" s="959" t="s">
        <v>480</v>
      </c>
      <c r="F57" s="959" t="s">
        <v>474</v>
      </c>
      <c r="G57" s="972" t="s">
        <v>471</v>
      </c>
      <c r="H57" s="959">
        <v>509</v>
      </c>
      <c r="I57" s="972">
        <v>12</v>
      </c>
      <c r="J57" s="965">
        <v>41579</v>
      </c>
      <c r="K57" s="965">
        <v>41883</v>
      </c>
      <c r="L57" s="965"/>
      <c r="M57" s="966">
        <v>100</v>
      </c>
      <c r="N57" s="967">
        <f t="shared" si="23"/>
        <v>50.9</v>
      </c>
      <c r="O57" s="968">
        <f t="shared" si="26"/>
        <v>81440</v>
      </c>
      <c r="P57" s="968">
        <f t="shared" si="28"/>
        <v>360</v>
      </c>
      <c r="Q57" s="967">
        <f t="shared" si="27"/>
        <v>29.3184</v>
      </c>
      <c r="R57" s="968">
        <v>100000</v>
      </c>
      <c r="S57" s="967">
        <f t="shared" si="24"/>
        <v>2.9318399999999998</v>
      </c>
      <c r="T57" s="967">
        <f t="shared" si="25"/>
        <v>53.83184</v>
      </c>
      <c r="U57" s="665"/>
      <c r="V57" s="665"/>
      <c r="W57" s="665"/>
      <c r="X57" s="959">
        <v>0.5</v>
      </c>
      <c r="Y57" s="959">
        <v>0.35</v>
      </c>
      <c r="Z57" s="959">
        <v>0.15</v>
      </c>
      <c r="AA57" s="959"/>
      <c r="AB57" s="665"/>
      <c r="AC57" s="665"/>
      <c r="AD57" s="665"/>
      <c r="AE57" s="665"/>
      <c r="AF57" s="665"/>
      <c r="AG57" s="665"/>
    </row>
    <row r="58" spans="1:33" ht="15" customHeight="1" x14ac:dyDescent="0.25">
      <c r="A58" s="961"/>
      <c r="B58" s="665"/>
      <c r="C58" s="971" t="s">
        <v>481</v>
      </c>
      <c r="D58" s="665" t="s">
        <v>482</v>
      </c>
      <c r="E58" s="959" t="s">
        <v>469</v>
      </c>
      <c r="F58" s="959" t="s">
        <v>483</v>
      </c>
      <c r="G58" s="972" t="s">
        <v>471</v>
      </c>
      <c r="H58" s="959">
        <v>1560</v>
      </c>
      <c r="I58" s="972">
        <v>12</v>
      </c>
      <c r="J58" s="965">
        <v>41609</v>
      </c>
      <c r="K58" s="959"/>
      <c r="L58" s="959"/>
      <c r="M58" s="966">
        <v>50</v>
      </c>
      <c r="N58" s="967">
        <f t="shared" si="23"/>
        <v>78</v>
      </c>
      <c r="O58" s="968">
        <f t="shared" si="26"/>
        <v>249600</v>
      </c>
      <c r="P58" s="968">
        <f t="shared" si="28"/>
        <v>360</v>
      </c>
      <c r="Q58" s="967">
        <f t="shared" si="27"/>
        <v>89.855999999999995</v>
      </c>
      <c r="R58" s="968">
        <v>100000</v>
      </c>
      <c r="S58" s="967">
        <f t="shared" si="24"/>
        <v>8.9855999999999998</v>
      </c>
      <c r="T58" s="967">
        <f t="shared" si="25"/>
        <v>86.985600000000005</v>
      </c>
      <c r="U58" s="665"/>
      <c r="V58" s="665"/>
      <c r="W58" s="665"/>
      <c r="X58" s="959">
        <v>0.15</v>
      </c>
      <c r="Y58" s="959">
        <v>0.25</v>
      </c>
      <c r="Z58" s="959">
        <v>0.25</v>
      </c>
      <c r="AA58" s="959">
        <v>0.35</v>
      </c>
      <c r="AB58" s="959">
        <v>0</v>
      </c>
      <c r="AC58" s="665"/>
      <c r="AD58" s="665"/>
      <c r="AE58" s="665"/>
      <c r="AF58" s="665"/>
      <c r="AG58" s="665"/>
    </row>
    <row r="59" spans="1:33" ht="15" customHeight="1" x14ac:dyDescent="0.25">
      <c r="A59" s="961"/>
      <c r="B59" s="665"/>
      <c r="C59" s="971" t="s">
        <v>484</v>
      </c>
      <c r="D59" s="665" t="s">
        <v>482</v>
      </c>
      <c r="E59" s="959"/>
      <c r="F59" s="959" t="s">
        <v>483</v>
      </c>
      <c r="G59" s="972" t="s">
        <v>471</v>
      </c>
      <c r="H59" s="959">
        <v>1860</v>
      </c>
      <c r="I59" s="972">
        <v>12</v>
      </c>
      <c r="J59" s="965">
        <v>42005</v>
      </c>
      <c r="K59" s="959"/>
      <c r="L59" s="959"/>
      <c r="M59" s="966">
        <v>50</v>
      </c>
      <c r="N59" s="967">
        <f t="shared" si="23"/>
        <v>93</v>
      </c>
      <c r="O59" s="968">
        <f t="shared" si="26"/>
        <v>297600</v>
      </c>
      <c r="P59" s="968">
        <f t="shared" si="28"/>
        <v>360</v>
      </c>
      <c r="Q59" s="967">
        <f t="shared" si="27"/>
        <v>107.136</v>
      </c>
      <c r="R59" s="968">
        <v>100000</v>
      </c>
      <c r="S59" s="967">
        <f t="shared" si="24"/>
        <v>10.7136</v>
      </c>
      <c r="T59" s="967">
        <f t="shared" si="25"/>
        <v>103.7136</v>
      </c>
      <c r="U59" s="665"/>
      <c r="V59" s="665"/>
      <c r="W59" s="665"/>
      <c r="X59" s="665"/>
      <c r="Y59" s="665"/>
      <c r="Z59" s="959">
        <v>0.4</v>
      </c>
      <c r="AA59" s="959">
        <v>0.35</v>
      </c>
      <c r="AB59" s="959">
        <v>0.25</v>
      </c>
      <c r="AC59" s="959">
        <v>0</v>
      </c>
      <c r="AD59" s="665"/>
      <c r="AE59" s="665"/>
      <c r="AF59" s="665"/>
      <c r="AG59" s="665"/>
    </row>
    <row r="60" spans="1:33" ht="15" customHeight="1" x14ac:dyDescent="0.25">
      <c r="A60" s="961"/>
      <c r="B60" s="665"/>
      <c r="C60" s="971" t="s">
        <v>485</v>
      </c>
      <c r="D60" s="665"/>
      <c r="E60" s="959"/>
      <c r="F60" s="959" t="s">
        <v>470</v>
      </c>
      <c r="G60" s="972" t="s">
        <v>471</v>
      </c>
      <c r="H60" s="959">
        <v>1100</v>
      </c>
      <c r="I60" s="972">
        <v>12</v>
      </c>
      <c r="J60" s="965">
        <v>42370</v>
      </c>
      <c r="K60" s="959"/>
      <c r="L60" s="959"/>
      <c r="M60" s="966">
        <v>50</v>
      </c>
      <c r="N60" s="967">
        <f t="shared" si="23"/>
        <v>55</v>
      </c>
      <c r="O60" s="968">
        <f t="shared" si="26"/>
        <v>176000</v>
      </c>
      <c r="P60" s="968">
        <f t="shared" si="28"/>
        <v>360</v>
      </c>
      <c r="Q60" s="967">
        <f t="shared" si="27"/>
        <v>63.36</v>
      </c>
      <c r="R60" s="968">
        <v>100000</v>
      </c>
      <c r="S60" s="967">
        <f t="shared" si="24"/>
        <v>6.3360000000000003</v>
      </c>
      <c r="T60" s="967">
        <f t="shared" si="25"/>
        <v>61.335999999999999</v>
      </c>
      <c r="U60" s="665"/>
      <c r="V60" s="665"/>
      <c r="W60" s="665"/>
      <c r="X60" s="665"/>
      <c r="Y60" s="665"/>
      <c r="Z60" s="959"/>
      <c r="AA60" s="959"/>
      <c r="AB60" s="959">
        <v>0.25</v>
      </c>
      <c r="AC60" s="959">
        <v>0.5</v>
      </c>
      <c r="AD60" s="665">
        <v>0.25</v>
      </c>
      <c r="AE60" s="665"/>
      <c r="AF60" s="665"/>
      <c r="AG60" s="665"/>
    </row>
    <row r="61" spans="1:33" ht="15" customHeight="1" x14ac:dyDescent="0.25">
      <c r="A61" s="961"/>
      <c r="B61" s="665"/>
      <c r="C61" s="963" t="s">
        <v>486</v>
      </c>
      <c r="D61" s="665"/>
      <c r="E61" s="665"/>
      <c r="F61" s="665"/>
      <c r="G61" s="665"/>
      <c r="H61" s="665"/>
      <c r="I61" s="959"/>
      <c r="J61" s="959"/>
      <c r="K61" s="959"/>
      <c r="L61" s="959"/>
      <c r="M61" s="959"/>
      <c r="N61" s="967"/>
      <c r="O61" s="665"/>
      <c r="P61" s="665"/>
      <c r="Q61" s="959"/>
      <c r="R61" s="665"/>
      <c r="S61" s="665"/>
      <c r="T61" s="665"/>
      <c r="U61" s="665"/>
      <c r="V61" s="665"/>
      <c r="W61" s="665"/>
      <c r="X61" s="665"/>
      <c r="Y61" s="665"/>
      <c r="Z61" s="665"/>
      <c r="AA61" s="665"/>
      <c r="AB61" s="665"/>
      <c r="AC61" s="665"/>
      <c r="AD61" s="665"/>
      <c r="AE61" s="665"/>
      <c r="AF61" s="665"/>
      <c r="AG61" s="665"/>
    </row>
    <row r="62" spans="1:33" ht="15" customHeight="1" x14ac:dyDescent="0.25">
      <c r="A62" s="961"/>
      <c r="B62" s="665"/>
      <c r="C62" s="964" t="s">
        <v>487</v>
      </c>
      <c r="D62" s="665" t="s">
        <v>488</v>
      </c>
      <c r="E62" s="665"/>
      <c r="F62" s="959" t="s">
        <v>489</v>
      </c>
      <c r="G62" s="972" t="s">
        <v>471</v>
      </c>
      <c r="H62" s="959">
        <v>118</v>
      </c>
      <c r="I62" s="959">
        <v>4</v>
      </c>
      <c r="J62" s="965">
        <v>41000</v>
      </c>
      <c r="K62" s="965">
        <v>41974</v>
      </c>
      <c r="L62" s="965"/>
      <c r="M62" s="966">
        <v>50</v>
      </c>
      <c r="N62" s="967">
        <f t="shared" si="23"/>
        <v>5.9</v>
      </c>
      <c r="O62" s="968">
        <f t="shared" ref="O62:O64" si="29">H62*160</f>
        <v>18880</v>
      </c>
      <c r="P62" s="968">
        <f t="shared" si="28"/>
        <v>120</v>
      </c>
      <c r="Q62" s="967">
        <f t="shared" ref="Q62:Q64" si="30">O62*P62/1000000</f>
        <v>2.2656000000000001</v>
      </c>
      <c r="R62" s="968">
        <v>100000</v>
      </c>
      <c r="S62" s="967">
        <f t="shared" ref="S62:S64" si="31">Q62*R62/1000000</f>
        <v>0.22656000000000001</v>
      </c>
      <c r="T62" s="967">
        <f t="shared" si="25"/>
        <v>6.1265600000000004</v>
      </c>
      <c r="U62" s="665"/>
      <c r="V62" s="665"/>
      <c r="W62" s="665"/>
      <c r="X62" s="959">
        <v>0.5</v>
      </c>
      <c r="Y62" s="959">
        <v>0.5</v>
      </c>
      <c r="Z62" s="959"/>
      <c r="AA62" s="665"/>
      <c r="AB62" s="959"/>
      <c r="AC62" s="959"/>
      <c r="AD62" s="665"/>
      <c r="AE62" s="665"/>
      <c r="AF62" s="665"/>
      <c r="AG62" s="665"/>
    </row>
    <row r="63" spans="1:33" ht="15" customHeight="1" x14ac:dyDescent="0.25">
      <c r="A63" s="961"/>
      <c r="B63" s="665"/>
      <c r="C63" s="964" t="s">
        <v>504</v>
      </c>
      <c r="D63" s="964" t="s">
        <v>490</v>
      </c>
      <c r="E63" s="959" t="s">
        <v>491</v>
      </c>
      <c r="F63" s="959" t="s">
        <v>492</v>
      </c>
      <c r="G63" s="972" t="s">
        <v>471</v>
      </c>
      <c r="H63" s="959">
        <v>247</v>
      </c>
      <c r="I63" s="959">
        <v>4</v>
      </c>
      <c r="J63" s="965">
        <v>41609</v>
      </c>
      <c r="K63" s="965">
        <v>42064</v>
      </c>
      <c r="L63" s="970">
        <v>42644</v>
      </c>
      <c r="M63" s="966">
        <v>50</v>
      </c>
      <c r="N63" s="967">
        <f t="shared" si="23"/>
        <v>12.35</v>
      </c>
      <c r="O63" s="968">
        <f t="shared" si="29"/>
        <v>39520</v>
      </c>
      <c r="P63" s="968">
        <f t="shared" si="28"/>
        <v>120</v>
      </c>
      <c r="Q63" s="967">
        <f t="shared" si="30"/>
        <v>4.7423999999999999</v>
      </c>
      <c r="R63" s="968">
        <v>100000</v>
      </c>
      <c r="S63" s="967">
        <f t="shared" si="31"/>
        <v>0.47423999999999999</v>
      </c>
      <c r="T63" s="967">
        <f t="shared" si="25"/>
        <v>12.82424</v>
      </c>
      <c r="U63" s="665"/>
      <c r="V63" s="665"/>
      <c r="W63" s="665"/>
      <c r="X63" s="665"/>
      <c r="Y63" s="959">
        <v>0.25</v>
      </c>
      <c r="Z63" s="959">
        <v>0.5</v>
      </c>
      <c r="AA63" s="959">
        <v>0.25</v>
      </c>
      <c r="AB63" s="959"/>
      <c r="AC63" s="959"/>
      <c r="AD63" s="665"/>
      <c r="AE63" s="665"/>
      <c r="AF63" s="665"/>
      <c r="AG63" s="665"/>
    </row>
    <row r="64" spans="1:33" ht="15" customHeight="1" x14ac:dyDescent="0.25">
      <c r="A64" s="961"/>
      <c r="B64" s="665"/>
      <c r="C64" s="964" t="s">
        <v>539</v>
      </c>
      <c r="D64" s="964" t="s">
        <v>490</v>
      </c>
      <c r="E64" s="964"/>
      <c r="F64" s="959" t="s">
        <v>492</v>
      </c>
      <c r="G64" s="972" t="s">
        <v>471</v>
      </c>
      <c r="H64" s="959">
        <v>80</v>
      </c>
      <c r="I64" s="959">
        <v>6</v>
      </c>
      <c r="J64" s="965">
        <v>41852</v>
      </c>
      <c r="K64" s="965"/>
      <c r="L64" s="965"/>
      <c r="M64" s="966">
        <v>50</v>
      </c>
      <c r="N64" s="967">
        <f t="shared" si="23"/>
        <v>4</v>
      </c>
      <c r="O64" s="968">
        <f t="shared" si="29"/>
        <v>12800</v>
      </c>
      <c r="P64" s="968">
        <f>I64*30</f>
        <v>180</v>
      </c>
      <c r="Q64" s="967">
        <f t="shared" si="30"/>
        <v>2.3039999999999998</v>
      </c>
      <c r="R64" s="968">
        <v>100000</v>
      </c>
      <c r="S64" s="967">
        <f t="shared" si="31"/>
        <v>0.23039999999999997</v>
      </c>
      <c r="T64" s="967">
        <f t="shared" si="25"/>
        <v>4.2304000000000004</v>
      </c>
      <c r="U64" s="665"/>
      <c r="V64" s="665"/>
      <c r="W64" s="665"/>
      <c r="X64" s="665"/>
      <c r="Y64" s="665"/>
      <c r="Z64" s="959">
        <v>0.25</v>
      </c>
      <c r="AA64" s="959">
        <v>0.5</v>
      </c>
      <c r="AB64" s="959">
        <v>0.25</v>
      </c>
      <c r="AC64" s="665"/>
      <c r="AD64" s="665"/>
      <c r="AE64" s="665"/>
      <c r="AF64" s="665"/>
      <c r="AG64" s="665"/>
    </row>
    <row r="65" spans="1:33" ht="15" customHeight="1" x14ac:dyDescent="0.25">
      <c r="A65" s="961"/>
      <c r="B65" s="665"/>
      <c r="C65" s="963" t="s">
        <v>494</v>
      </c>
      <c r="D65" s="964"/>
      <c r="E65" s="964"/>
      <c r="F65" s="964"/>
      <c r="G65" s="964"/>
      <c r="H65" s="964"/>
      <c r="I65" s="964"/>
      <c r="J65" s="965"/>
      <c r="K65" s="965"/>
      <c r="L65" s="965"/>
      <c r="M65" s="665"/>
      <c r="N65" s="967"/>
      <c r="O65" s="665"/>
      <c r="P65" s="665"/>
      <c r="Q65" s="665"/>
      <c r="R65" s="665"/>
      <c r="S65" s="665"/>
      <c r="T65" s="665"/>
      <c r="U65" s="665"/>
      <c r="V65" s="665"/>
      <c r="W65" s="665"/>
      <c r="X65" s="665"/>
      <c r="Y65" s="665"/>
      <c r="Z65" s="665"/>
      <c r="AA65" s="665"/>
      <c r="AB65" s="665"/>
      <c r="AC65" s="665"/>
      <c r="AD65" s="665"/>
      <c r="AE65" s="665"/>
      <c r="AF65" s="665"/>
      <c r="AG65" s="665"/>
    </row>
    <row r="66" spans="1:33" ht="15" customHeight="1" x14ac:dyDescent="0.25">
      <c r="A66" s="961"/>
      <c r="B66" s="665"/>
      <c r="C66" s="964" t="s">
        <v>495</v>
      </c>
      <c r="D66" s="964" t="s">
        <v>496</v>
      </c>
      <c r="E66" s="665"/>
      <c r="F66" s="959" t="s">
        <v>470</v>
      </c>
      <c r="G66" s="972" t="s">
        <v>471</v>
      </c>
      <c r="H66" s="959">
        <v>144</v>
      </c>
      <c r="I66" s="959">
        <v>3</v>
      </c>
      <c r="J66" s="965">
        <v>42370</v>
      </c>
      <c r="K66" s="665"/>
      <c r="L66" s="665"/>
      <c r="M66" s="966">
        <v>50</v>
      </c>
      <c r="N66" s="967">
        <f t="shared" si="23"/>
        <v>7.2</v>
      </c>
      <c r="O66" s="968">
        <f t="shared" ref="O66" si="32">H66*160</f>
        <v>23040</v>
      </c>
      <c r="P66" s="968">
        <f>I66*30</f>
        <v>90</v>
      </c>
      <c r="Q66" s="967">
        <f t="shared" ref="Q66" si="33">O66*P66/1000000</f>
        <v>2.0735999999999999</v>
      </c>
      <c r="R66" s="968">
        <v>100000</v>
      </c>
      <c r="S66" s="967">
        <f t="shared" ref="S66" si="34">Q66*R66/1000000</f>
        <v>0.20735999999999999</v>
      </c>
      <c r="T66" s="967">
        <f t="shared" si="25"/>
        <v>7.4073600000000006</v>
      </c>
      <c r="U66" s="665"/>
      <c r="V66" s="665"/>
      <c r="W66" s="665"/>
      <c r="X66" s="665"/>
      <c r="Y66" s="965"/>
      <c r="Z66" s="965"/>
      <c r="AA66" s="665"/>
      <c r="AB66" s="959">
        <v>0.25</v>
      </c>
      <c r="AC66" s="959">
        <v>0.5</v>
      </c>
      <c r="AD66" s="665">
        <v>0.25</v>
      </c>
      <c r="AE66" s="665"/>
      <c r="AF66" s="665"/>
      <c r="AG66" s="665"/>
    </row>
    <row r="67" spans="1:33" ht="15" customHeight="1" x14ac:dyDescent="0.25">
      <c r="A67" s="119"/>
      <c r="F67" s="22"/>
      <c r="G67" s="517"/>
      <c r="H67" s="517"/>
      <c r="I67" s="517"/>
      <c r="J67" s="517"/>
      <c r="K67" s="5"/>
      <c r="L67" s="87"/>
      <c r="M67" s="5"/>
      <c r="N67" s="5"/>
      <c r="O67" s="5"/>
      <c r="P67" s="51"/>
      <c r="Q67" s="5"/>
      <c r="R67" s="5"/>
      <c r="S67" s="5"/>
    </row>
    <row r="79" spans="1:33" x14ac:dyDescent="0.2">
      <c r="B79" s="8"/>
    </row>
    <row r="80" spans="1:33" x14ac:dyDescent="0.2">
      <c r="B80" s="8"/>
    </row>
    <row r="81" spans="2:20" x14ac:dyDescent="0.2">
      <c r="B81" s="8"/>
    </row>
    <row r="82" spans="2:20" x14ac:dyDescent="0.2">
      <c r="B82" s="8"/>
    </row>
    <row r="83" spans="2:20" x14ac:dyDescent="0.2">
      <c r="B83" s="8"/>
    </row>
    <row r="84" spans="2:20" x14ac:dyDescent="0.2">
      <c r="B84" s="8"/>
    </row>
    <row r="85" spans="2:20" x14ac:dyDescent="0.2">
      <c r="B85" s="8"/>
    </row>
    <row r="86" spans="2:20" x14ac:dyDescent="0.2">
      <c r="B86" s="8"/>
    </row>
    <row r="87" spans="2:20" x14ac:dyDescent="0.2">
      <c r="B87" s="8"/>
    </row>
    <row r="88" spans="2:20" x14ac:dyDescent="0.2">
      <c r="B88" s="8"/>
    </row>
    <row r="89" spans="2:20" x14ac:dyDescent="0.2">
      <c r="B89" s="8"/>
    </row>
    <row r="90" spans="2:20" x14ac:dyDescent="0.2">
      <c r="B90" s="8"/>
    </row>
    <row r="91" spans="2:20" x14ac:dyDescent="0.2">
      <c r="B91" s="8"/>
      <c r="C91" s="20"/>
      <c r="D91" s="20"/>
      <c r="E91" s="20"/>
      <c r="F91" s="28"/>
      <c r="G91" s="20"/>
      <c r="H91" s="37"/>
      <c r="I91" s="33"/>
      <c r="J91" s="33"/>
      <c r="K91" s="33"/>
      <c r="L91" s="33"/>
      <c r="M91" s="27"/>
      <c r="N91" s="34"/>
      <c r="O91" s="20"/>
      <c r="P91" s="14"/>
      <c r="Q91" s="2"/>
      <c r="R91" s="2"/>
      <c r="S91" s="2"/>
      <c r="T91" s="2"/>
    </row>
    <row r="92" spans="2:20" x14ac:dyDescent="0.2">
      <c r="B92" s="8"/>
      <c r="C92" s="28"/>
      <c r="D92" s="28"/>
      <c r="E92" s="28"/>
      <c r="F92" s="28"/>
      <c r="G92" s="20"/>
      <c r="H92" s="28"/>
      <c r="I92" s="27"/>
      <c r="J92" s="27"/>
      <c r="K92" s="27"/>
      <c r="L92" s="27"/>
      <c r="M92" s="27"/>
      <c r="N92" s="34"/>
      <c r="O92" s="20"/>
      <c r="P92" s="14"/>
      <c r="Q92" s="2"/>
      <c r="R92" s="2"/>
      <c r="S92" s="2"/>
      <c r="T92" s="2"/>
    </row>
    <row r="93" spans="2:20" x14ac:dyDescent="0.2">
      <c r="B93" s="8"/>
      <c r="C93" s="28"/>
      <c r="D93" s="28"/>
      <c r="E93" s="28"/>
      <c r="F93" s="28"/>
      <c r="G93" s="20"/>
      <c r="H93" s="28"/>
      <c r="I93" s="27"/>
      <c r="J93" s="27"/>
      <c r="K93" s="27"/>
      <c r="L93" s="27"/>
      <c r="M93" s="27"/>
      <c r="N93" s="34"/>
      <c r="O93" s="20"/>
      <c r="P93" s="14"/>
      <c r="Q93" s="2"/>
      <c r="R93" s="2"/>
      <c r="S93" s="2"/>
      <c r="T93" s="2"/>
    </row>
    <row r="94" spans="2:20" x14ac:dyDescent="0.2">
      <c r="B94" s="8"/>
      <c r="C94" s="31"/>
      <c r="D94" s="31"/>
      <c r="E94" s="31"/>
      <c r="F94" s="20"/>
      <c r="G94" s="28"/>
      <c r="H94" s="28"/>
      <c r="I94" s="27"/>
      <c r="J94" s="27"/>
      <c r="K94" s="27"/>
      <c r="L94" s="27"/>
      <c r="M94" s="27"/>
      <c r="N94" s="34"/>
      <c r="O94" s="34"/>
      <c r="P94" s="14"/>
      <c r="Q94" s="2"/>
      <c r="R94" s="2"/>
      <c r="S94" s="2"/>
      <c r="T94" s="2"/>
    </row>
    <row r="95" spans="2:20" x14ac:dyDescent="0.2">
      <c r="B95" s="8"/>
      <c r="C95" s="28"/>
      <c r="D95" s="28"/>
      <c r="E95" s="28"/>
      <c r="F95" s="28"/>
      <c r="G95" s="28"/>
      <c r="H95" s="28"/>
      <c r="I95" s="42"/>
      <c r="J95" s="42"/>
      <c r="K95" s="42"/>
      <c r="L95" s="42"/>
      <c r="M95" s="42"/>
      <c r="N95" s="42"/>
      <c r="O95" s="20"/>
      <c r="P95" s="14"/>
      <c r="Q95" s="2"/>
      <c r="R95" s="2"/>
      <c r="S95" s="2"/>
      <c r="T95" s="2"/>
    </row>
    <row r="96" spans="2:20" x14ac:dyDescent="0.2">
      <c r="B96" s="8"/>
      <c r="C96" s="31"/>
      <c r="D96" s="31"/>
      <c r="E96" s="31"/>
      <c r="F96" s="20"/>
      <c r="G96" s="28"/>
      <c r="H96" s="28"/>
      <c r="I96" s="27"/>
      <c r="J96" s="27"/>
      <c r="K96" s="27"/>
      <c r="L96" s="27"/>
      <c r="M96" s="27"/>
      <c r="N96" s="34"/>
      <c r="O96" s="34"/>
      <c r="P96" s="14"/>
      <c r="Q96" s="2"/>
      <c r="R96" s="2"/>
      <c r="S96" s="2"/>
      <c r="T96" s="2"/>
    </row>
    <row r="97" spans="2:20" x14ac:dyDescent="0.2">
      <c r="B97" s="8"/>
      <c r="C97" s="28"/>
      <c r="D97" s="28"/>
      <c r="E97" s="28"/>
      <c r="F97" s="28"/>
      <c r="G97" s="28"/>
      <c r="H97" s="28"/>
      <c r="I97" s="27"/>
      <c r="J97" s="27"/>
      <c r="K97" s="27"/>
      <c r="L97" s="27"/>
      <c r="M97" s="20"/>
      <c r="N97" s="34"/>
      <c r="O97" s="20"/>
      <c r="P97" s="14"/>
      <c r="Q97" s="2"/>
      <c r="R97" s="2"/>
      <c r="S97" s="2"/>
      <c r="T97" s="2"/>
    </row>
    <row r="98" spans="2:20" x14ac:dyDescent="0.2">
      <c r="B98" s="8"/>
      <c r="C98" s="31"/>
      <c r="D98" s="31"/>
      <c r="E98" s="31"/>
      <c r="F98" s="20"/>
      <c r="G98" s="28"/>
      <c r="H98" s="28"/>
      <c r="I98" s="27"/>
      <c r="J98" s="27"/>
      <c r="K98" s="27"/>
      <c r="L98" s="27"/>
      <c r="M98" s="27"/>
      <c r="N98" s="34"/>
      <c r="O98" s="34"/>
      <c r="P98" s="14"/>
      <c r="Q98" s="2"/>
      <c r="R98" s="2"/>
      <c r="S98" s="2"/>
      <c r="T98" s="2"/>
    </row>
    <row r="99" spans="2:20" x14ac:dyDescent="0.2">
      <c r="B99" s="8"/>
      <c r="C99" s="28"/>
      <c r="D99" s="28"/>
      <c r="E99" s="28"/>
      <c r="F99" s="28"/>
      <c r="G99" s="28"/>
      <c r="H99" s="28"/>
      <c r="I99" s="28"/>
      <c r="J99" s="28"/>
      <c r="K99" s="28"/>
      <c r="L99" s="20"/>
      <c r="M99" s="43"/>
      <c r="N99" s="7"/>
      <c r="O99" s="20"/>
      <c r="P99" s="14"/>
      <c r="Q99" s="2"/>
      <c r="R99" s="2"/>
      <c r="S99" s="2"/>
      <c r="T99" s="2"/>
    </row>
    <row r="100" spans="2:20" x14ac:dyDescent="0.2">
      <c r="B100" s="8"/>
      <c r="C100" s="6"/>
      <c r="D100" s="6"/>
      <c r="E100" s="6"/>
      <c r="F100" s="20"/>
      <c r="G100" s="20"/>
      <c r="H100" s="20"/>
      <c r="I100" s="20"/>
      <c r="J100" s="20"/>
      <c r="K100" s="20"/>
      <c r="L100" s="20"/>
      <c r="M100" s="44"/>
      <c r="N100" s="7"/>
      <c r="O100" s="20"/>
      <c r="P100" s="14"/>
      <c r="Q100" s="2"/>
      <c r="R100" s="2"/>
      <c r="S100" s="2"/>
      <c r="T100" s="2"/>
    </row>
    <row r="101" spans="2:20" x14ac:dyDescent="0.2">
      <c r="B101" s="8"/>
      <c r="C101" s="20"/>
      <c r="D101" s="20"/>
      <c r="E101" s="20"/>
      <c r="F101" s="28"/>
      <c r="G101" s="20"/>
      <c r="H101" s="20"/>
      <c r="I101" s="39"/>
      <c r="J101" s="39"/>
      <c r="K101" s="39"/>
      <c r="L101" s="39"/>
      <c r="M101" s="39"/>
      <c r="N101" s="34"/>
      <c r="O101" s="20"/>
      <c r="P101" s="14"/>
      <c r="Q101" s="2"/>
      <c r="R101" s="2"/>
      <c r="S101" s="2"/>
      <c r="T101" s="2"/>
    </row>
    <row r="102" spans="2:20" x14ac:dyDescent="0.2">
      <c r="B102" s="8"/>
      <c r="C102" s="20"/>
      <c r="D102" s="20"/>
      <c r="E102" s="20"/>
      <c r="F102" s="20"/>
      <c r="G102" s="20"/>
      <c r="H102" s="20"/>
      <c r="I102" s="39"/>
      <c r="J102" s="39"/>
      <c r="K102" s="39"/>
      <c r="L102" s="39"/>
      <c r="M102" s="39"/>
      <c r="N102" s="34"/>
      <c r="O102" s="20"/>
      <c r="P102" s="14"/>
      <c r="Q102" s="2"/>
      <c r="R102" s="2"/>
      <c r="S102" s="2"/>
      <c r="T102" s="2"/>
    </row>
    <row r="103" spans="2:20" x14ac:dyDescent="0.2">
      <c r="B103" s="8"/>
      <c r="C103" s="20"/>
      <c r="D103" s="20"/>
      <c r="E103" s="20"/>
      <c r="F103" s="28"/>
      <c r="G103" s="20"/>
      <c r="H103" s="9"/>
      <c r="I103" s="45"/>
      <c r="J103" s="45"/>
      <c r="K103" s="45"/>
      <c r="L103" s="45"/>
      <c r="M103" s="39"/>
      <c r="N103" s="34"/>
      <c r="O103" s="20"/>
      <c r="P103" s="14"/>
      <c r="Q103" s="2"/>
      <c r="R103" s="2"/>
      <c r="S103" s="2"/>
      <c r="T103" s="2"/>
    </row>
    <row r="104" spans="2:20" x14ac:dyDescent="0.2"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</row>
    <row r="105" spans="2:20" x14ac:dyDescent="0.2"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spans="2:20" x14ac:dyDescent="0.2"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</row>
    <row r="107" spans="2:20" x14ac:dyDescent="0.2"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 spans="2:20" x14ac:dyDescent="0.2">
      <c r="B108" s="11"/>
      <c r="C108" s="11"/>
      <c r="D108" s="11"/>
      <c r="E108" s="11"/>
    </row>
    <row r="109" spans="2:20" x14ac:dyDescent="0.2">
      <c r="B109" s="11"/>
      <c r="C109" s="11"/>
      <c r="D109" s="11"/>
      <c r="E109" s="11"/>
    </row>
    <row r="110" spans="2:20" x14ac:dyDescent="0.2">
      <c r="B110" s="11"/>
      <c r="C110" s="11"/>
      <c r="D110" s="11"/>
      <c r="E110" s="11"/>
    </row>
    <row r="111" spans="2:20" x14ac:dyDescent="0.2">
      <c r="B111" s="11"/>
      <c r="C111" s="11"/>
      <c r="D111" s="11"/>
      <c r="E111" s="11"/>
    </row>
    <row r="112" spans="2:20" x14ac:dyDescent="0.2">
      <c r="B112" s="11"/>
      <c r="C112" s="11"/>
      <c r="D112" s="11"/>
      <c r="E112" s="11"/>
    </row>
    <row r="113" spans="2:5" x14ac:dyDescent="0.2">
      <c r="B113" s="11"/>
      <c r="C113" s="11"/>
      <c r="D113" s="11"/>
      <c r="E113" s="11"/>
    </row>
    <row r="114" spans="2:5" x14ac:dyDescent="0.2">
      <c r="B114" s="11"/>
      <c r="C114" s="11"/>
      <c r="D114" s="11"/>
      <c r="E114" s="11"/>
    </row>
    <row r="115" spans="2:5" x14ac:dyDescent="0.2">
      <c r="B115" s="11"/>
      <c r="C115" s="11"/>
      <c r="D115" s="11"/>
      <c r="E115" s="11"/>
    </row>
    <row r="116" spans="2:5" x14ac:dyDescent="0.2">
      <c r="B116" s="11"/>
      <c r="C116" s="11"/>
      <c r="D116" s="11"/>
      <c r="E116" s="11"/>
    </row>
    <row r="117" spans="2:5" x14ac:dyDescent="0.2">
      <c r="B117" s="11"/>
      <c r="C117" s="11"/>
      <c r="D117" s="11"/>
      <c r="E117" s="11"/>
    </row>
    <row r="118" spans="2:5" x14ac:dyDescent="0.2">
      <c r="B118" s="11"/>
      <c r="C118" s="11"/>
      <c r="D118" s="11"/>
      <c r="E118" s="11"/>
    </row>
    <row r="119" spans="2:5" x14ac:dyDescent="0.2">
      <c r="B119" s="11"/>
      <c r="C119" s="11"/>
      <c r="D119" s="11"/>
      <c r="E119" s="11"/>
    </row>
    <row r="120" spans="2:5" x14ac:dyDescent="0.2">
      <c r="B120" s="11"/>
      <c r="C120" s="11"/>
      <c r="D120" s="11"/>
      <c r="E120" s="11"/>
    </row>
    <row r="121" spans="2:5" x14ac:dyDescent="0.2">
      <c r="B121" s="11"/>
      <c r="C121" s="11"/>
      <c r="D121" s="11"/>
      <c r="E121" s="11"/>
    </row>
    <row r="122" spans="2:5" x14ac:dyDescent="0.2">
      <c r="B122" s="11"/>
      <c r="C122" s="11"/>
      <c r="D122" s="11"/>
      <c r="E122" s="11"/>
    </row>
    <row r="123" spans="2:5" x14ac:dyDescent="0.2">
      <c r="B123" s="11"/>
      <c r="C123" s="11"/>
      <c r="D123" s="11"/>
      <c r="E123" s="11"/>
    </row>
    <row r="124" spans="2:5" x14ac:dyDescent="0.2">
      <c r="B124" s="11"/>
      <c r="C124" s="11"/>
      <c r="D124" s="11"/>
      <c r="E124" s="11"/>
    </row>
    <row r="125" spans="2:5" x14ac:dyDescent="0.2">
      <c r="B125" s="11"/>
      <c r="C125" s="11"/>
      <c r="D125" s="11"/>
      <c r="E125" s="11"/>
    </row>
    <row r="126" spans="2:5" x14ac:dyDescent="0.2">
      <c r="B126" s="11"/>
      <c r="C126" s="11"/>
      <c r="D126" s="11"/>
      <c r="E126" s="11"/>
    </row>
    <row r="127" spans="2:5" x14ac:dyDescent="0.2">
      <c r="B127" s="11"/>
      <c r="C127" s="11"/>
      <c r="D127" s="11"/>
      <c r="E127" s="11"/>
    </row>
    <row r="128" spans="2:5" x14ac:dyDescent="0.2">
      <c r="B128" s="11"/>
      <c r="C128" s="11"/>
      <c r="D128" s="11"/>
      <c r="E128" s="11"/>
    </row>
    <row r="129" spans="2:5" x14ac:dyDescent="0.2">
      <c r="B129" s="11"/>
      <c r="C129" s="11"/>
      <c r="D129" s="11"/>
      <c r="E129" s="11"/>
    </row>
    <row r="130" spans="2:5" x14ac:dyDescent="0.2">
      <c r="B130" s="11"/>
      <c r="C130" s="11"/>
      <c r="D130" s="11"/>
      <c r="E130" s="11"/>
    </row>
    <row r="131" spans="2:5" x14ac:dyDescent="0.2">
      <c r="B131" s="11"/>
      <c r="C131" s="11"/>
      <c r="D131" s="11"/>
      <c r="E131" s="11"/>
    </row>
    <row r="132" spans="2:5" x14ac:dyDescent="0.2">
      <c r="B132" s="11"/>
      <c r="C132" s="11"/>
      <c r="D132" s="11"/>
      <c r="E132" s="11"/>
    </row>
    <row r="133" spans="2:5" x14ac:dyDescent="0.2">
      <c r="B133" s="11"/>
      <c r="C133" s="11"/>
      <c r="D133" s="11"/>
      <c r="E133" s="11"/>
    </row>
    <row r="134" spans="2:5" x14ac:dyDescent="0.2">
      <c r="B134" s="11"/>
      <c r="C134" s="11"/>
      <c r="D134" s="11"/>
      <c r="E134" s="11"/>
    </row>
    <row r="135" spans="2:5" x14ac:dyDescent="0.2">
      <c r="B135" s="11"/>
      <c r="C135" s="11"/>
      <c r="D135" s="11"/>
      <c r="E135" s="11"/>
    </row>
    <row r="136" spans="2:5" x14ac:dyDescent="0.2">
      <c r="B136" s="11"/>
      <c r="C136" s="11"/>
      <c r="D136" s="11"/>
      <c r="E136" s="11"/>
    </row>
    <row r="137" spans="2:5" x14ac:dyDescent="0.2">
      <c r="B137" s="11"/>
      <c r="C137" s="11"/>
      <c r="D137" s="11"/>
      <c r="E137" s="11"/>
    </row>
    <row r="138" spans="2:5" x14ac:dyDescent="0.2">
      <c r="B138" s="11"/>
      <c r="C138" s="11"/>
      <c r="D138" s="11"/>
      <c r="E138" s="11"/>
    </row>
  </sheetData>
  <phoneticPr fontId="13" type="noConversion"/>
  <printOptions gridLines="1"/>
  <pageMargins left="0.75" right="0.75" top="1" bottom="1" header="0.5" footer="0.5"/>
  <pageSetup paperSize="9" scale="73" orientation="landscape" verticalDpi="0" r:id="rId1"/>
  <headerFooter alignWithMargins="0">
    <oddFooter>&amp;L&amp;F&amp;A&amp;CPLG Copyright&amp;R&amp;D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137"/>
  <sheetViews>
    <sheetView zoomScale="90" zoomScaleNormal="90" workbookViewId="0"/>
  </sheetViews>
  <sheetFormatPr defaultRowHeight="12.75" x14ac:dyDescent="0.2"/>
  <cols>
    <col min="1" max="1" width="3.28515625" customWidth="1"/>
    <col min="2" max="2" width="4" customWidth="1"/>
    <col min="3" max="3" width="38.42578125" customWidth="1"/>
    <col min="4" max="4" width="11.7109375" customWidth="1"/>
    <col min="5" max="5" width="13.85546875" customWidth="1"/>
    <col min="6" max="6" width="12" customWidth="1"/>
    <col min="7" max="7" width="11.7109375" customWidth="1"/>
    <col min="8" max="8" width="9.7109375" customWidth="1"/>
    <col min="9" max="9" width="11.7109375" customWidth="1"/>
    <col min="10" max="14" width="9.7109375" customWidth="1"/>
    <col min="15" max="15" width="10.140625" customWidth="1"/>
    <col min="16" max="22" width="9.7109375" customWidth="1"/>
    <col min="25" max="25" width="11.42578125" bestFit="1" customWidth="1"/>
  </cols>
  <sheetData>
    <row r="1" spans="1:22" ht="15.75" x14ac:dyDescent="0.25">
      <c r="A1" s="119" t="s">
        <v>129</v>
      </c>
      <c r="D1" s="22" t="s">
        <v>86</v>
      </c>
      <c r="F1" s="50">
        <f>Control!Y2</f>
        <v>2008</v>
      </c>
      <c r="G1" s="204" t="s">
        <v>143</v>
      </c>
      <c r="H1" s="206"/>
      <c r="I1" s="206"/>
      <c r="J1" s="206"/>
      <c r="S1" s="11"/>
      <c r="T1" s="11"/>
      <c r="U1" s="11"/>
      <c r="V1" s="90"/>
    </row>
    <row r="2" spans="1:22" ht="15.75" customHeight="1" x14ac:dyDescent="0.25">
      <c r="A2" s="119"/>
      <c r="G2" s="6"/>
      <c r="H2" s="11"/>
      <c r="I2" s="6"/>
      <c r="J2" s="6"/>
      <c r="K2" s="6"/>
    </row>
    <row r="3" spans="1:22" ht="15.75" x14ac:dyDescent="0.25">
      <c r="A3" s="293"/>
      <c r="B3" s="359" t="s">
        <v>345</v>
      </c>
      <c r="C3" s="287"/>
      <c r="D3" s="431" t="s">
        <v>295</v>
      </c>
      <c r="E3" s="431" t="s">
        <v>518</v>
      </c>
      <c r="F3" s="431" t="s">
        <v>4</v>
      </c>
      <c r="G3" s="287"/>
      <c r="H3" s="973" t="s">
        <v>332</v>
      </c>
      <c r="I3" s="287"/>
      <c r="J3" s="287"/>
      <c r="K3" s="431" t="s">
        <v>295</v>
      </c>
      <c r="L3" s="431" t="s">
        <v>518</v>
      </c>
      <c r="M3" s="431" t="s">
        <v>4</v>
      </c>
      <c r="N3" s="287"/>
      <c r="O3" s="287"/>
      <c r="P3" s="287"/>
      <c r="Q3" s="288"/>
    </row>
    <row r="4" spans="1:22" x14ac:dyDescent="0.2">
      <c r="A4" s="284"/>
      <c r="B4" s="11"/>
      <c r="C4" s="243" t="s">
        <v>519</v>
      </c>
      <c r="D4" s="164">
        <v>10000</v>
      </c>
      <c r="E4" s="265">
        <v>20000</v>
      </c>
      <c r="F4" s="52">
        <f>D4+E4</f>
        <v>30000</v>
      </c>
      <c r="G4" s="11"/>
      <c r="H4" s="436" t="s">
        <v>548</v>
      </c>
      <c r="I4" s="11"/>
      <c r="J4" s="11"/>
      <c r="K4" s="264">
        <v>5000</v>
      </c>
      <c r="L4" s="264">
        <v>10000</v>
      </c>
      <c r="M4" s="82">
        <f>K4+L4</f>
        <v>15000</v>
      </c>
      <c r="N4" s="11"/>
      <c r="O4" s="11"/>
      <c r="P4" s="11"/>
      <c r="Q4" s="289"/>
    </row>
    <row r="5" spans="1:22" x14ac:dyDescent="0.2">
      <c r="A5" s="284"/>
      <c r="B5" s="11"/>
      <c r="C5" s="243" t="s">
        <v>227</v>
      </c>
      <c r="D5" s="164">
        <v>12</v>
      </c>
      <c r="E5" s="164">
        <v>12</v>
      </c>
      <c r="F5" s="11"/>
      <c r="G5" s="11"/>
      <c r="H5" s="436" t="s">
        <v>549</v>
      </c>
      <c r="I5" s="11"/>
      <c r="J5" s="11"/>
      <c r="K5" s="264">
        <v>25</v>
      </c>
      <c r="L5" s="264">
        <v>25</v>
      </c>
      <c r="M5" s="82"/>
      <c r="N5" s="11"/>
      <c r="O5" s="11"/>
      <c r="P5" s="11"/>
      <c r="Q5" s="289"/>
    </row>
    <row r="6" spans="1:22" x14ac:dyDescent="0.2">
      <c r="A6" s="284"/>
      <c r="B6" s="11"/>
      <c r="C6" s="243" t="s">
        <v>135</v>
      </c>
      <c r="D6" s="238">
        <f>D4*D5</f>
        <v>120000</v>
      </c>
      <c r="E6" s="238">
        <f>E4*E5</f>
        <v>240000</v>
      </c>
      <c r="F6" s="52">
        <f>D6+E6</f>
        <v>360000</v>
      </c>
      <c r="G6" s="11"/>
      <c r="H6" s="436" t="s">
        <v>333</v>
      </c>
      <c r="I6" s="11"/>
      <c r="J6" s="11"/>
      <c r="K6" s="787">
        <f>K4/K5</f>
        <v>200</v>
      </c>
      <c r="L6" s="787">
        <f>L4/L5</f>
        <v>400</v>
      </c>
      <c r="M6" s="82"/>
      <c r="N6" s="11"/>
      <c r="O6" s="11"/>
      <c r="P6" s="11"/>
      <c r="Q6" s="289"/>
    </row>
    <row r="7" spans="1:22" x14ac:dyDescent="0.2">
      <c r="A7" s="284"/>
      <c r="B7" s="11"/>
      <c r="C7" s="244" t="s">
        <v>89</v>
      </c>
      <c r="D7" s="164">
        <v>200</v>
      </c>
      <c r="E7" s="164">
        <v>200</v>
      </c>
      <c r="F7" s="11"/>
      <c r="G7" s="11"/>
      <c r="H7" s="432" t="s">
        <v>334</v>
      </c>
      <c r="I7" s="11"/>
      <c r="J7" s="64">
        <v>0.25</v>
      </c>
      <c r="K7" s="519">
        <f>D11*(1+$J$7)</f>
        <v>250</v>
      </c>
      <c r="L7" s="519">
        <f>E11*(1+$J$7)</f>
        <v>187.5</v>
      </c>
      <c r="M7" s="715"/>
      <c r="N7" s="11"/>
      <c r="O7" s="11"/>
      <c r="P7" s="11"/>
      <c r="Q7" s="289"/>
    </row>
    <row r="8" spans="1:22" x14ac:dyDescent="0.2">
      <c r="A8" s="284"/>
      <c r="B8" s="11"/>
      <c r="C8" s="244" t="s">
        <v>228</v>
      </c>
      <c r="D8" s="164">
        <v>3</v>
      </c>
      <c r="E8" s="164">
        <v>3</v>
      </c>
      <c r="F8" s="11"/>
      <c r="G8" s="11"/>
      <c r="H8" s="311" t="s">
        <v>260</v>
      </c>
      <c r="I8" s="11"/>
      <c r="J8" s="11"/>
      <c r="K8" s="17">
        <f>K6*K7/1000</f>
        <v>50</v>
      </c>
      <c r="L8" s="17">
        <f>L6*L7/1000</f>
        <v>75</v>
      </c>
      <c r="M8" s="17">
        <f>K8+L8</f>
        <v>125</v>
      </c>
      <c r="N8" s="11"/>
      <c r="O8" s="11"/>
      <c r="P8" s="11"/>
      <c r="Q8" s="289"/>
    </row>
    <row r="9" spans="1:22" x14ac:dyDescent="0.2">
      <c r="A9" s="284"/>
      <c r="B9" s="11"/>
      <c r="C9" s="244" t="s">
        <v>90</v>
      </c>
      <c r="D9" s="238">
        <f>D7*D8</f>
        <v>600</v>
      </c>
      <c r="E9" s="238">
        <f>E7*E8</f>
        <v>600</v>
      </c>
      <c r="F9" s="11"/>
      <c r="G9" s="11"/>
      <c r="H9" s="10" t="s">
        <v>553</v>
      </c>
      <c r="I9" s="11"/>
      <c r="J9" s="11"/>
      <c r="K9" s="11"/>
      <c r="L9" s="11"/>
      <c r="M9" s="11"/>
      <c r="N9" s="244"/>
      <c r="O9" s="11"/>
      <c r="P9" s="11"/>
      <c r="Q9" s="289"/>
    </row>
    <row r="10" spans="1:22" x14ac:dyDescent="0.2">
      <c r="A10" s="284"/>
      <c r="B10" s="11"/>
      <c r="C10" s="14" t="s">
        <v>91</v>
      </c>
      <c r="D10" s="182">
        <f>D6/D9</f>
        <v>200</v>
      </c>
      <c r="E10" s="182">
        <f>E6/E9</f>
        <v>400</v>
      </c>
      <c r="F10" s="11"/>
      <c r="G10" s="11"/>
      <c r="H10" s="432" t="s">
        <v>557</v>
      </c>
      <c r="I10" s="11"/>
      <c r="J10" s="11"/>
      <c r="K10" s="719">
        <v>0.5</v>
      </c>
      <c r="L10" s="719">
        <v>0.75</v>
      </c>
      <c r="M10" s="268">
        <f>M11/M8</f>
        <v>0.65</v>
      </c>
      <c r="N10" s="450"/>
      <c r="O10" s="11"/>
      <c r="P10" s="11"/>
      <c r="Q10" s="289"/>
    </row>
    <row r="11" spans="1:22" x14ac:dyDescent="0.2">
      <c r="A11" s="284"/>
      <c r="B11" s="11"/>
      <c r="C11" s="20" t="s">
        <v>254</v>
      </c>
      <c r="D11" s="281">
        <v>200</v>
      </c>
      <c r="E11" s="281">
        <v>150</v>
      </c>
      <c r="F11" s="21"/>
      <c r="G11" s="11"/>
      <c r="H11" s="10" t="s">
        <v>554</v>
      </c>
      <c r="I11" s="11"/>
      <c r="J11" s="11"/>
      <c r="K11" s="374">
        <f>K8*K10</f>
        <v>25</v>
      </c>
      <c r="L11" s="374">
        <f>L8*L10</f>
        <v>56.25</v>
      </c>
      <c r="M11" s="374">
        <f>K11+L11</f>
        <v>81.25</v>
      </c>
      <c r="N11" s="453"/>
      <c r="O11" s="11"/>
      <c r="P11" s="11"/>
      <c r="Q11" s="289"/>
    </row>
    <row r="12" spans="1:22" x14ac:dyDescent="0.2">
      <c r="A12" s="284"/>
      <c r="B12" s="11"/>
      <c r="C12" s="243" t="s">
        <v>257</v>
      </c>
      <c r="D12" s="103">
        <f>D10*D11/1000</f>
        <v>40</v>
      </c>
      <c r="E12" s="103">
        <f>E10*E11/1000</f>
        <v>60</v>
      </c>
      <c r="F12" s="145">
        <f>D12+E12</f>
        <v>100</v>
      </c>
      <c r="G12" s="11"/>
      <c r="H12" s="11"/>
      <c r="I12" s="11"/>
      <c r="J12" s="11"/>
      <c r="K12" s="11"/>
      <c r="L12" s="11"/>
      <c r="M12" s="11"/>
      <c r="N12" s="454"/>
      <c r="O12" s="11"/>
      <c r="P12" s="11"/>
      <c r="Q12" s="289"/>
    </row>
    <row r="13" spans="1:22" x14ac:dyDescent="0.2">
      <c r="A13" s="284"/>
      <c r="B13" s="11"/>
      <c r="C13" s="20" t="s">
        <v>255</v>
      </c>
      <c r="D13" s="82">
        <f>D12/D6*1000000</f>
        <v>333.33333333333331</v>
      </c>
      <c r="E13" s="82">
        <f t="shared" ref="E13:F13" si="0">E12/E6*1000000</f>
        <v>250</v>
      </c>
      <c r="F13" s="715">
        <f t="shared" si="0"/>
        <v>277.77777777777777</v>
      </c>
      <c r="G13" s="11"/>
      <c r="H13" s="716" t="s">
        <v>574</v>
      </c>
      <c r="I13" s="11"/>
      <c r="J13" s="11"/>
      <c r="K13" s="873" t="s">
        <v>295</v>
      </c>
      <c r="L13" s="873" t="s">
        <v>518</v>
      </c>
      <c r="M13" s="517" t="s">
        <v>4</v>
      </c>
      <c r="N13" s="454"/>
      <c r="O13" s="11"/>
      <c r="P13" s="11"/>
      <c r="Q13" s="289"/>
    </row>
    <row r="14" spans="1:22" x14ac:dyDescent="0.2">
      <c r="A14" s="284"/>
      <c r="B14" s="311" t="s">
        <v>229</v>
      </c>
      <c r="C14" s="11"/>
      <c r="D14" s="431" t="s">
        <v>295</v>
      </c>
      <c r="E14" s="431" t="s">
        <v>518</v>
      </c>
      <c r="F14" s="517" t="s">
        <v>4</v>
      </c>
      <c r="G14" s="11"/>
      <c r="H14" s="316" t="s">
        <v>87</v>
      </c>
      <c r="I14" s="11"/>
      <c r="J14" s="11"/>
      <c r="K14" s="102">
        <v>50</v>
      </c>
      <c r="L14" s="102">
        <v>100</v>
      </c>
      <c r="M14" s="82">
        <f>K14+L14</f>
        <v>150</v>
      </c>
      <c r="N14" s="263"/>
      <c r="O14" s="11"/>
      <c r="P14" s="11"/>
      <c r="Q14" s="289"/>
    </row>
    <row r="15" spans="1:22" x14ac:dyDescent="0.2">
      <c r="A15" s="284"/>
      <c r="B15" s="11"/>
      <c r="C15" s="436" t="s">
        <v>88</v>
      </c>
      <c r="D15" s="164">
        <f>D4</f>
        <v>10000</v>
      </c>
      <c r="E15" s="164">
        <f>E4</f>
        <v>20000</v>
      </c>
      <c r="F15" s="52">
        <f>F4</f>
        <v>30000</v>
      </c>
      <c r="G15" s="11"/>
      <c r="H15" s="74" t="s">
        <v>256</v>
      </c>
      <c r="I15" s="11"/>
      <c r="J15" s="11"/>
      <c r="K15" s="281">
        <v>300</v>
      </c>
      <c r="L15" s="281">
        <v>200</v>
      </c>
      <c r="M15" s="281"/>
      <c r="N15" s="243"/>
      <c r="O15" s="11"/>
      <c r="P15" s="11"/>
      <c r="Q15" s="289"/>
    </row>
    <row r="16" spans="1:22" x14ac:dyDescent="0.2">
      <c r="A16" s="284"/>
      <c r="B16" s="11"/>
      <c r="C16" s="436" t="s">
        <v>230</v>
      </c>
      <c r="D16" s="164">
        <v>6</v>
      </c>
      <c r="E16" s="164">
        <v>6</v>
      </c>
      <c r="F16" s="164"/>
      <c r="G16" s="11"/>
      <c r="H16" s="74" t="s">
        <v>257</v>
      </c>
      <c r="I16" s="11"/>
      <c r="J16" s="11"/>
      <c r="K16" s="455">
        <f>K14*K15/1000</f>
        <v>15</v>
      </c>
      <c r="L16" s="455">
        <f>L14*L15/1000</f>
        <v>20</v>
      </c>
      <c r="M16" s="17">
        <f>K16+L16</f>
        <v>35</v>
      </c>
      <c r="N16" s="450"/>
      <c r="O16" s="11"/>
      <c r="P16" s="11"/>
      <c r="Q16" s="289"/>
    </row>
    <row r="17" spans="1:29" x14ac:dyDescent="0.2">
      <c r="A17" s="284"/>
      <c r="B17" s="11"/>
      <c r="C17" s="436" t="s">
        <v>96</v>
      </c>
      <c r="D17" s="238">
        <f>D15/D16</f>
        <v>1666.6666666666667</v>
      </c>
      <c r="E17" s="238">
        <f>E15/E16</f>
        <v>3333.3333333333335</v>
      </c>
      <c r="F17" s="238"/>
      <c r="G17" s="11"/>
      <c r="H17" s="311" t="s">
        <v>85</v>
      </c>
      <c r="I17" s="11"/>
      <c r="J17" s="11"/>
      <c r="K17" s="873"/>
      <c r="L17" s="873"/>
      <c r="M17" s="517"/>
      <c r="N17" s="436"/>
      <c r="O17" s="11"/>
      <c r="P17" s="11"/>
      <c r="Q17" s="289"/>
    </row>
    <row r="18" spans="1:29" x14ac:dyDescent="0.2">
      <c r="A18" s="284"/>
      <c r="B18" s="11"/>
      <c r="C18" s="272" t="s">
        <v>258</v>
      </c>
      <c r="D18" s="246">
        <v>2</v>
      </c>
      <c r="E18" s="246">
        <v>3</v>
      </c>
      <c r="F18" s="246"/>
      <c r="G18" s="11"/>
      <c r="H18" s="316" t="s">
        <v>94</v>
      </c>
      <c r="I18" s="11"/>
      <c r="J18" s="11"/>
      <c r="K18" s="182">
        <v>2</v>
      </c>
      <c r="L18" s="182">
        <v>4</v>
      </c>
      <c r="M18" s="11"/>
      <c r="N18" s="436"/>
      <c r="O18" s="11"/>
      <c r="P18" s="11"/>
      <c r="Q18" s="289"/>
      <c r="R18" s="11"/>
      <c r="S18" s="11"/>
      <c r="T18" s="11"/>
      <c r="U18" s="11"/>
      <c r="V18" s="11"/>
      <c r="W18" s="11"/>
    </row>
    <row r="19" spans="1:29" x14ac:dyDescent="0.2">
      <c r="A19" s="284"/>
      <c r="B19" s="11"/>
      <c r="C19" s="436" t="s">
        <v>260</v>
      </c>
      <c r="D19" s="518">
        <f>D17*D18/1000</f>
        <v>3.3333333333333335</v>
      </c>
      <c r="E19" s="518">
        <f>E17*E18/1000</f>
        <v>10</v>
      </c>
      <c r="F19" s="518">
        <f>D19+E19</f>
        <v>13.333333333333334</v>
      </c>
      <c r="G19" s="11"/>
      <c r="H19" s="316" t="s">
        <v>175</v>
      </c>
      <c r="I19" s="11"/>
      <c r="J19" s="11"/>
      <c r="K19" s="161">
        <v>4</v>
      </c>
      <c r="L19" s="161">
        <v>8</v>
      </c>
      <c r="M19" s="21"/>
      <c r="N19" s="436"/>
      <c r="O19" s="436"/>
      <c r="P19" s="436"/>
      <c r="Q19" s="505"/>
      <c r="R19" s="436"/>
      <c r="S19" s="11"/>
      <c r="T19" s="11"/>
      <c r="U19" s="11"/>
      <c r="V19" s="11"/>
      <c r="W19" s="11"/>
    </row>
    <row r="20" spans="1:29" x14ac:dyDescent="0.2">
      <c r="A20" s="284"/>
      <c r="B20" s="6" t="s">
        <v>351</v>
      </c>
      <c r="C20" s="436"/>
      <c r="D20" s="145">
        <f>D19+D12</f>
        <v>43.333333333333336</v>
      </c>
      <c r="E20" s="145">
        <f>E19+E12</f>
        <v>70</v>
      </c>
      <c r="F20" s="145">
        <f>D20+E20</f>
        <v>113.33333333333334</v>
      </c>
      <c r="G20" s="11"/>
      <c r="H20" s="436" t="s">
        <v>260</v>
      </c>
      <c r="I20" s="11"/>
      <c r="J20" s="11"/>
      <c r="K20" s="17">
        <f>K18+K19</f>
        <v>6</v>
      </c>
      <c r="L20" s="17">
        <f>L18+L19</f>
        <v>12</v>
      </c>
      <c r="M20" s="145">
        <f>K20+L20</f>
        <v>18</v>
      </c>
      <c r="N20" s="436"/>
      <c r="O20" s="436"/>
      <c r="P20" s="436"/>
      <c r="Q20" s="505"/>
      <c r="R20" s="436"/>
      <c r="S20" s="11"/>
      <c r="T20" s="11"/>
      <c r="U20" s="11"/>
      <c r="V20" s="11"/>
      <c r="W20" s="11"/>
    </row>
    <row r="21" spans="1:29" ht="13.5" thickBot="1" x14ac:dyDescent="0.25">
      <c r="A21" s="284"/>
      <c r="B21" s="10" t="s">
        <v>636</v>
      </c>
      <c r="C21" s="11"/>
      <c r="D21" s="828">
        <f>D20+K11+K25</f>
        <v>109.33333333333334</v>
      </c>
      <c r="E21" s="828">
        <f>E20+L11+L25</f>
        <v>178.25</v>
      </c>
      <c r="F21" s="828">
        <f>D21+E21</f>
        <v>287.58333333333337</v>
      </c>
      <c r="G21" s="11"/>
      <c r="H21" s="311" t="s">
        <v>92</v>
      </c>
      <c r="I21" s="11"/>
      <c r="J21" s="11"/>
      <c r="K21" s="873"/>
      <c r="L21" s="873"/>
      <c r="M21" s="517"/>
      <c r="N21" s="436"/>
      <c r="O21" s="11"/>
      <c r="P21" s="11"/>
      <c r="Q21" s="289"/>
      <c r="R21" s="11"/>
      <c r="S21" s="11"/>
      <c r="T21" s="11"/>
      <c r="U21" s="11"/>
      <c r="V21" s="11"/>
      <c r="W21" s="11"/>
    </row>
    <row r="22" spans="1:29" ht="13.5" thickTop="1" x14ac:dyDescent="0.2">
      <c r="A22" s="284"/>
      <c r="B22" s="11"/>
      <c r="C22" s="11"/>
      <c r="D22" s="11"/>
      <c r="E22" s="11"/>
      <c r="F22" s="11"/>
      <c r="G22" s="11"/>
      <c r="H22" s="316" t="s">
        <v>93</v>
      </c>
      <c r="I22" s="11"/>
      <c r="J22" s="11"/>
      <c r="K22" s="182">
        <v>4</v>
      </c>
      <c r="L22" s="78">
        <v>4</v>
      </c>
      <c r="M22" s="11"/>
      <c r="N22" s="436"/>
      <c r="O22" s="11"/>
      <c r="P22" s="11"/>
      <c r="Q22" s="289"/>
      <c r="R22" s="11"/>
      <c r="S22" s="11"/>
      <c r="T22" s="11"/>
      <c r="U22" s="11"/>
      <c r="V22" s="11"/>
      <c r="W22" s="11"/>
    </row>
    <row r="23" spans="1:29" x14ac:dyDescent="0.2">
      <c r="A23" s="284"/>
      <c r="B23" s="10" t="s">
        <v>553</v>
      </c>
      <c r="C23" s="11"/>
      <c r="D23" s="11"/>
      <c r="E23" s="510" t="s">
        <v>550</v>
      </c>
      <c r="F23" s="260">
        <v>1</v>
      </c>
      <c r="G23" s="11"/>
      <c r="H23" s="272" t="s">
        <v>259</v>
      </c>
      <c r="I23" s="11"/>
      <c r="J23" s="11"/>
      <c r="K23" s="161">
        <v>5</v>
      </c>
      <c r="L23" s="161">
        <v>5</v>
      </c>
      <c r="M23" s="21"/>
      <c r="N23" s="436"/>
      <c r="O23" s="11"/>
      <c r="P23" s="11"/>
      <c r="Q23" s="289"/>
      <c r="R23" s="11"/>
      <c r="S23" s="11"/>
      <c r="T23" s="11"/>
      <c r="U23" s="11"/>
      <c r="V23" s="11"/>
      <c r="W23" s="11"/>
    </row>
    <row r="24" spans="1:29" x14ac:dyDescent="0.2">
      <c r="A24" s="284"/>
      <c r="B24" s="11"/>
      <c r="C24" s="11"/>
      <c r="D24" s="11"/>
      <c r="E24" s="510" t="s">
        <v>551</v>
      </c>
      <c r="F24" s="260">
        <v>0.65</v>
      </c>
      <c r="G24" s="11"/>
      <c r="H24" s="272" t="s">
        <v>260</v>
      </c>
      <c r="I24" s="11"/>
      <c r="J24" s="11"/>
      <c r="K24" s="518">
        <f>K22*K23</f>
        <v>20</v>
      </c>
      <c r="L24" s="518">
        <f>L22*L23</f>
        <v>20</v>
      </c>
      <c r="M24" s="711">
        <f>K24+L24</f>
        <v>40</v>
      </c>
      <c r="N24" s="436"/>
      <c r="O24" s="11"/>
      <c r="P24" s="11"/>
      <c r="Q24" s="289"/>
      <c r="R24" s="11"/>
      <c r="S24" s="11"/>
      <c r="T24" s="11"/>
      <c r="U24" s="11"/>
      <c r="V24" s="11"/>
      <c r="W24" s="11"/>
    </row>
    <row r="25" spans="1:29" x14ac:dyDescent="0.2">
      <c r="A25" s="290"/>
      <c r="B25" s="21"/>
      <c r="C25" s="21"/>
      <c r="D25" s="21"/>
      <c r="E25" s="974" t="s">
        <v>552</v>
      </c>
      <c r="F25" s="719">
        <v>0.35</v>
      </c>
      <c r="G25" s="21"/>
      <c r="H25" s="975" t="s">
        <v>336</v>
      </c>
      <c r="I25" s="21"/>
      <c r="J25" s="21"/>
      <c r="K25" s="976">
        <f>K24+K20+K16</f>
        <v>41</v>
      </c>
      <c r="L25" s="976">
        <f>L24+L20+L16</f>
        <v>52</v>
      </c>
      <c r="M25" s="976">
        <f>M24+M20+M16</f>
        <v>93</v>
      </c>
      <c r="N25" s="733"/>
      <c r="O25" s="21"/>
      <c r="P25" s="21"/>
      <c r="Q25" s="295"/>
      <c r="R25" s="11"/>
      <c r="S25" s="11"/>
      <c r="T25" s="11"/>
      <c r="U25" s="11"/>
      <c r="V25" s="11"/>
      <c r="W25" s="11"/>
    </row>
    <row r="26" spans="1:29" x14ac:dyDescent="0.2">
      <c r="A26" s="290"/>
      <c r="B26" s="60"/>
      <c r="C26" s="733"/>
      <c r="D26" s="162"/>
      <c r="E26" s="162"/>
      <c r="F26" s="162"/>
      <c r="G26" s="197"/>
      <c r="H26" s="21"/>
      <c r="I26" s="179"/>
      <c r="J26" s="196"/>
      <c r="K26" s="196"/>
      <c r="L26" s="196"/>
      <c r="M26" s="21"/>
      <c r="N26" s="729"/>
      <c r="O26" s="166"/>
      <c r="P26" s="166"/>
      <c r="Q26" s="165"/>
      <c r="R26" s="59"/>
      <c r="S26" s="6"/>
      <c r="T26" s="6"/>
      <c r="U26" s="6"/>
      <c r="V26" s="6"/>
      <c r="W26" s="6"/>
    </row>
    <row r="27" spans="1:29" x14ac:dyDescent="0.2">
      <c r="A27" s="834"/>
      <c r="B27" s="287"/>
      <c r="C27" s="287"/>
      <c r="D27" s="287"/>
      <c r="E27" s="287"/>
      <c r="F27" s="287"/>
      <c r="G27" s="287"/>
      <c r="H27" s="835"/>
      <c r="I27" s="835"/>
      <c r="J27" s="835"/>
      <c r="K27" s="835"/>
      <c r="L27" s="835"/>
      <c r="M27" s="835"/>
      <c r="N27" s="835"/>
      <c r="O27" s="835"/>
      <c r="P27" s="835"/>
      <c r="Q27" s="836"/>
      <c r="R27" s="59"/>
      <c r="S27" s="489"/>
      <c r="T27" s="489"/>
      <c r="U27" s="489"/>
      <c r="V27" s="489"/>
      <c r="W27" s="489"/>
      <c r="X27" s="11"/>
      <c r="Y27" s="11"/>
      <c r="Z27" s="11"/>
      <c r="AA27" s="11"/>
      <c r="AB27" s="11"/>
      <c r="AC27" s="11"/>
    </row>
    <row r="28" spans="1:29" ht="12.75" customHeight="1" x14ac:dyDescent="0.2">
      <c r="A28" s="456" t="s">
        <v>328</v>
      </c>
      <c r="B28" s="11"/>
      <c r="C28" s="20"/>
      <c r="D28" s="11"/>
      <c r="E28" s="517">
        <f>F1+1</f>
        <v>2009</v>
      </c>
      <c r="F28" s="517">
        <f t="shared" ref="F28:Q28" si="1">E28+1</f>
        <v>2010</v>
      </c>
      <c r="G28" s="517">
        <f t="shared" si="1"/>
        <v>2011</v>
      </c>
      <c r="H28" s="517">
        <f t="shared" si="1"/>
        <v>2012</v>
      </c>
      <c r="I28" s="517">
        <f t="shared" si="1"/>
        <v>2013</v>
      </c>
      <c r="J28" s="517">
        <f t="shared" si="1"/>
        <v>2014</v>
      </c>
      <c r="K28" s="517">
        <f t="shared" si="1"/>
        <v>2015</v>
      </c>
      <c r="L28" s="517">
        <f t="shared" si="1"/>
        <v>2016</v>
      </c>
      <c r="M28" s="517">
        <f t="shared" si="1"/>
        <v>2017</v>
      </c>
      <c r="N28" s="517">
        <f t="shared" si="1"/>
        <v>2018</v>
      </c>
      <c r="O28" s="517">
        <f t="shared" si="1"/>
        <v>2019</v>
      </c>
      <c r="P28" s="517">
        <f t="shared" si="1"/>
        <v>2020</v>
      </c>
      <c r="Q28" s="214">
        <f t="shared" si="1"/>
        <v>2021</v>
      </c>
      <c r="S28" s="517"/>
      <c r="T28" s="517"/>
      <c r="U28" s="517"/>
      <c r="V28" s="517"/>
      <c r="W28" s="8"/>
      <c r="X28" s="11"/>
    </row>
    <row r="29" spans="1:29" ht="12.75" customHeight="1" x14ac:dyDescent="0.2">
      <c r="A29" s="284"/>
      <c r="B29" s="6" t="s">
        <v>295</v>
      </c>
      <c r="C29" s="11"/>
      <c r="D29" s="11"/>
      <c r="E29" s="101"/>
      <c r="F29" s="11"/>
      <c r="G29" s="11"/>
      <c r="H29" s="369">
        <f>Control!I14</f>
        <v>1</v>
      </c>
      <c r="I29" s="489">
        <f>H29</f>
        <v>1</v>
      </c>
      <c r="J29" s="489">
        <f t="shared" ref="J29:L29" si="2">I29</f>
        <v>1</v>
      </c>
      <c r="K29" s="489">
        <f t="shared" si="2"/>
        <v>1</v>
      </c>
      <c r="L29" s="489">
        <f t="shared" si="2"/>
        <v>1</v>
      </c>
      <c r="M29" s="369">
        <f>Control!J14</f>
        <v>1</v>
      </c>
      <c r="N29" s="489">
        <f>M29</f>
        <v>1</v>
      </c>
      <c r="O29" s="489">
        <f t="shared" ref="O29:Q29" si="3">N29</f>
        <v>1</v>
      </c>
      <c r="P29" s="489">
        <f t="shared" si="3"/>
        <v>1</v>
      </c>
      <c r="Q29" s="837">
        <f t="shared" si="3"/>
        <v>1</v>
      </c>
      <c r="S29" s="717"/>
      <c r="T29" s="717"/>
      <c r="U29" s="717"/>
      <c r="V29" s="8"/>
      <c r="W29" s="8"/>
      <c r="X29" s="11"/>
    </row>
    <row r="30" spans="1:29" ht="12.75" customHeight="1" x14ac:dyDescent="0.2">
      <c r="A30" s="284"/>
      <c r="B30" s="11"/>
      <c r="C30" s="243" t="s">
        <v>330</v>
      </c>
      <c r="D30" s="11"/>
      <c r="E30" s="11"/>
      <c r="F30" s="11"/>
      <c r="G30" s="11"/>
      <c r="H30" s="521">
        <f t="shared" ref="H30:Q30" si="4">$D$20*H29</f>
        <v>43.333333333333336</v>
      </c>
      <c r="I30" s="521">
        <f t="shared" si="4"/>
        <v>43.333333333333336</v>
      </c>
      <c r="J30" s="521">
        <f t="shared" si="4"/>
        <v>43.333333333333336</v>
      </c>
      <c r="K30" s="521">
        <f t="shared" si="4"/>
        <v>43.333333333333336</v>
      </c>
      <c r="L30" s="521">
        <f t="shared" si="4"/>
        <v>43.333333333333336</v>
      </c>
      <c r="M30" s="521">
        <f t="shared" si="4"/>
        <v>43.333333333333336</v>
      </c>
      <c r="N30" s="521">
        <f t="shared" si="4"/>
        <v>43.333333333333336</v>
      </c>
      <c r="O30" s="521">
        <f t="shared" si="4"/>
        <v>43.333333333333336</v>
      </c>
      <c r="P30" s="521">
        <f t="shared" si="4"/>
        <v>43.333333333333336</v>
      </c>
      <c r="Q30" s="838">
        <f t="shared" si="4"/>
        <v>43.333333333333336</v>
      </c>
      <c r="S30" s="718"/>
      <c r="T30" s="718"/>
      <c r="U30" s="718"/>
      <c r="V30" s="8"/>
      <c r="W30" s="8"/>
      <c r="X30" s="11"/>
    </row>
    <row r="31" spans="1:29" ht="12.75" customHeight="1" x14ac:dyDescent="0.2">
      <c r="A31" s="284"/>
      <c r="B31" s="11"/>
      <c r="C31" s="243" t="s">
        <v>335</v>
      </c>
      <c r="D31" s="11"/>
      <c r="E31" s="11"/>
      <c r="F31" s="11"/>
      <c r="G31" s="11"/>
      <c r="H31" s="521">
        <f>K11</f>
        <v>25</v>
      </c>
      <c r="I31" s="521">
        <f>H31</f>
        <v>25</v>
      </c>
      <c r="J31" s="521">
        <f t="shared" ref="J31:Q31" si="5">I31</f>
        <v>25</v>
      </c>
      <c r="K31" s="521">
        <f t="shared" si="5"/>
        <v>25</v>
      </c>
      <c r="L31" s="521">
        <f t="shared" si="5"/>
        <v>25</v>
      </c>
      <c r="M31" s="521">
        <f t="shared" si="5"/>
        <v>25</v>
      </c>
      <c r="N31" s="521">
        <f t="shared" si="5"/>
        <v>25</v>
      </c>
      <c r="O31" s="521">
        <f t="shared" si="5"/>
        <v>25</v>
      </c>
      <c r="P31" s="521">
        <f t="shared" si="5"/>
        <v>25</v>
      </c>
      <c r="Q31" s="838">
        <f t="shared" si="5"/>
        <v>25</v>
      </c>
      <c r="S31" s="718"/>
      <c r="T31" s="718"/>
      <c r="U31" s="718"/>
      <c r="V31" s="8"/>
      <c r="W31" s="8"/>
      <c r="X31" s="11"/>
    </row>
    <row r="32" spans="1:29" ht="12.75" customHeight="1" x14ac:dyDescent="0.2">
      <c r="A32" s="284"/>
      <c r="B32" s="11"/>
      <c r="C32" s="243" t="s">
        <v>331</v>
      </c>
      <c r="D32" s="11"/>
      <c r="E32" s="11"/>
      <c r="F32" s="11"/>
      <c r="G32" s="11"/>
      <c r="H32" s="522">
        <f t="shared" ref="H32:Q32" si="6">$K$25</f>
        <v>41</v>
      </c>
      <c r="I32" s="522">
        <f t="shared" si="6"/>
        <v>41</v>
      </c>
      <c r="J32" s="522">
        <f t="shared" si="6"/>
        <v>41</v>
      </c>
      <c r="K32" s="522">
        <f t="shared" si="6"/>
        <v>41</v>
      </c>
      <c r="L32" s="522">
        <f t="shared" si="6"/>
        <v>41</v>
      </c>
      <c r="M32" s="522">
        <f t="shared" si="6"/>
        <v>41</v>
      </c>
      <c r="N32" s="522">
        <f t="shared" si="6"/>
        <v>41</v>
      </c>
      <c r="O32" s="522">
        <f t="shared" si="6"/>
        <v>41</v>
      </c>
      <c r="P32" s="522">
        <f t="shared" si="6"/>
        <v>41</v>
      </c>
      <c r="Q32" s="839">
        <f t="shared" si="6"/>
        <v>41</v>
      </c>
      <c r="S32" s="718"/>
      <c r="T32" s="718"/>
      <c r="U32" s="718"/>
      <c r="V32" s="8"/>
      <c r="W32" s="8"/>
      <c r="X32" s="11"/>
    </row>
    <row r="33" spans="1:24" ht="12.75" customHeight="1" x14ac:dyDescent="0.2">
      <c r="A33" s="284"/>
      <c r="B33" s="243" t="s">
        <v>337</v>
      </c>
      <c r="C33" s="11"/>
      <c r="D33" s="11"/>
      <c r="E33" s="11"/>
      <c r="F33" s="11"/>
      <c r="G33" s="11"/>
      <c r="H33" s="53">
        <f t="shared" ref="H33:Q33" si="7">SUM(H30:H32)</f>
        <v>109.33333333333334</v>
      </c>
      <c r="I33" s="53">
        <f t="shared" si="7"/>
        <v>109.33333333333334</v>
      </c>
      <c r="J33" s="53">
        <f t="shared" si="7"/>
        <v>109.33333333333334</v>
      </c>
      <c r="K33" s="53">
        <f t="shared" si="7"/>
        <v>109.33333333333334</v>
      </c>
      <c r="L33" s="53">
        <f t="shared" si="7"/>
        <v>109.33333333333334</v>
      </c>
      <c r="M33" s="53">
        <f t="shared" si="7"/>
        <v>109.33333333333334</v>
      </c>
      <c r="N33" s="53">
        <f t="shared" si="7"/>
        <v>109.33333333333334</v>
      </c>
      <c r="O33" s="53">
        <f t="shared" si="7"/>
        <v>109.33333333333334</v>
      </c>
      <c r="P33" s="53">
        <f t="shared" si="7"/>
        <v>109.33333333333334</v>
      </c>
      <c r="Q33" s="840">
        <f t="shared" si="7"/>
        <v>109.33333333333334</v>
      </c>
      <c r="S33" s="56"/>
      <c r="T33" s="56"/>
      <c r="U33" s="56"/>
      <c r="V33" s="8"/>
      <c r="W33" s="8"/>
      <c r="X33" s="11"/>
    </row>
    <row r="34" spans="1:24" ht="12.75" customHeight="1" x14ac:dyDescent="0.2">
      <c r="A34" s="284"/>
      <c r="B34" s="10" t="s">
        <v>598</v>
      </c>
      <c r="C34" s="11"/>
      <c r="D34" s="57"/>
      <c r="E34" s="11"/>
      <c r="F34" s="11"/>
      <c r="G34" s="11"/>
      <c r="H34" s="53">
        <f>H33</f>
        <v>109.33333333333334</v>
      </c>
      <c r="I34" s="53">
        <f t="shared" ref="I34:Q34" si="8">I33</f>
        <v>109.33333333333334</v>
      </c>
      <c r="J34" s="53">
        <f t="shared" si="8"/>
        <v>109.33333333333334</v>
      </c>
      <c r="K34" s="53">
        <f t="shared" si="8"/>
        <v>109.33333333333334</v>
      </c>
      <c r="L34" s="53">
        <f t="shared" si="8"/>
        <v>109.33333333333334</v>
      </c>
      <c r="M34" s="53">
        <f t="shared" si="8"/>
        <v>109.33333333333334</v>
      </c>
      <c r="N34" s="53">
        <f t="shared" si="8"/>
        <v>109.33333333333334</v>
      </c>
      <c r="O34" s="53">
        <f t="shared" si="8"/>
        <v>109.33333333333334</v>
      </c>
      <c r="P34" s="53">
        <f t="shared" si="8"/>
        <v>109.33333333333334</v>
      </c>
      <c r="Q34" s="53">
        <f t="shared" si="8"/>
        <v>109.33333333333334</v>
      </c>
      <c r="S34" s="56"/>
      <c r="T34" s="56"/>
      <c r="U34" s="56"/>
      <c r="V34" s="8"/>
      <c r="W34" s="8"/>
      <c r="X34" s="11"/>
    </row>
    <row r="35" spans="1:24" ht="12.75" customHeight="1" x14ac:dyDescent="0.2">
      <c r="A35" s="284"/>
      <c r="B35" s="243" t="s">
        <v>5</v>
      </c>
      <c r="C35" s="243"/>
      <c r="D35" s="57"/>
      <c r="E35" s="11"/>
      <c r="F35" s="11"/>
      <c r="G35" s="11"/>
      <c r="H35" s="12">
        <f>Sales!J38</f>
        <v>71.165834772232131</v>
      </c>
      <c r="I35" s="12">
        <f>Sales!K38</f>
        <v>390.65902451534782</v>
      </c>
      <c r="J35" s="12">
        <f>Sales!L38</f>
        <v>676.77394983104773</v>
      </c>
      <c r="K35" s="12">
        <f>Sales!M38</f>
        <v>1145.6168009775779</v>
      </c>
      <c r="L35" s="12">
        <f>Sales!N38</f>
        <v>1475.4926556377777</v>
      </c>
      <c r="M35" s="12">
        <f>Sales!O38</f>
        <v>1785.3691777183569</v>
      </c>
      <c r="N35" s="12">
        <f>Sales!P38</f>
        <v>2127.5685778731722</v>
      </c>
      <c r="O35" s="12">
        <f>Sales!Q38</f>
        <v>2404.2916302238755</v>
      </c>
      <c r="P35" s="12">
        <f>Sales!R38</f>
        <v>2700.7771310419894</v>
      </c>
      <c r="Q35" s="795">
        <f>Sales!S38</f>
        <v>2901.8369420449253</v>
      </c>
      <c r="S35" s="54"/>
      <c r="T35" s="54"/>
      <c r="U35" s="54"/>
      <c r="V35" s="8"/>
      <c r="W35" s="8"/>
      <c r="X35" s="11"/>
    </row>
    <row r="36" spans="1:24" ht="12.75" customHeight="1" x14ac:dyDescent="0.2">
      <c r="A36" s="284"/>
      <c r="B36" s="11"/>
      <c r="C36" s="243" t="s">
        <v>329</v>
      </c>
      <c r="D36" s="18"/>
      <c r="E36" s="11"/>
      <c r="F36" s="11"/>
      <c r="G36" s="11"/>
      <c r="H36" s="18">
        <f>H34/H35</f>
        <v>1.5363177244144912</v>
      </c>
      <c r="I36" s="18">
        <f t="shared" ref="I36:R36" si="9">I34/I35</f>
        <v>0.2798689559750282</v>
      </c>
      <c r="J36" s="18">
        <f t="shared" si="9"/>
        <v>0.16155074136737638</v>
      </c>
      <c r="K36" s="18">
        <f t="shared" si="9"/>
        <v>9.5436216752440267E-2</v>
      </c>
      <c r="L36" s="18">
        <f t="shared" si="9"/>
        <v>7.4099544254304886E-2</v>
      </c>
      <c r="M36" s="18">
        <f t="shared" si="9"/>
        <v>6.1238501648750172E-2</v>
      </c>
      <c r="N36" s="18">
        <f t="shared" si="9"/>
        <v>5.1388864486158474E-2</v>
      </c>
      <c r="O36" s="18">
        <f t="shared" si="9"/>
        <v>4.5474239463684688E-2</v>
      </c>
      <c r="P36" s="18">
        <f t="shared" si="9"/>
        <v>4.0482175325274379E-2</v>
      </c>
      <c r="Q36" s="841">
        <f t="shared" si="9"/>
        <v>3.7677283567934081E-2</v>
      </c>
      <c r="S36" s="81"/>
      <c r="T36" s="81"/>
      <c r="U36" s="81"/>
      <c r="V36" s="8"/>
      <c r="W36" s="8"/>
      <c r="X36" s="11"/>
    </row>
    <row r="37" spans="1:24" ht="12.75" customHeight="1" x14ac:dyDescent="0.2">
      <c r="A37" s="284"/>
      <c r="B37" s="11"/>
      <c r="C37" s="243"/>
      <c r="D37" s="18"/>
      <c r="E37" s="11"/>
      <c r="F37" s="11"/>
      <c r="G37" s="11"/>
      <c r="H37" s="18"/>
      <c r="I37" s="18"/>
      <c r="J37" s="18"/>
      <c r="K37" s="18"/>
      <c r="L37" s="18"/>
      <c r="M37" s="18"/>
      <c r="N37" s="18"/>
      <c r="O37" s="18"/>
      <c r="P37" s="18"/>
      <c r="Q37" s="841"/>
      <c r="S37" s="81"/>
      <c r="T37" s="81"/>
      <c r="U37" s="81"/>
      <c r="V37" s="8"/>
      <c r="W37" s="8"/>
      <c r="X37" s="11"/>
    </row>
    <row r="38" spans="1:24" ht="12.75" customHeight="1" x14ac:dyDescent="0.2">
      <c r="A38" s="284"/>
      <c r="B38" s="6" t="s">
        <v>381</v>
      </c>
      <c r="C38" s="11"/>
      <c r="D38" s="368"/>
      <c r="E38" s="11"/>
      <c r="F38" s="11"/>
      <c r="G38" s="11"/>
      <c r="H38" s="11"/>
      <c r="I38" s="369">
        <f>Control!I15</f>
        <v>1</v>
      </c>
      <c r="J38" s="489">
        <f>I38</f>
        <v>1</v>
      </c>
      <c r="K38" s="489">
        <f>J38</f>
        <v>1</v>
      </c>
      <c r="L38" s="489">
        <f>K38</f>
        <v>1</v>
      </c>
      <c r="M38" s="489">
        <f>L38</f>
        <v>1</v>
      </c>
      <c r="N38" s="369">
        <f>Control!J15</f>
        <v>1</v>
      </c>
      <c r="O38" s="489">
        <f>N38</f>
        <v>1</v>
      </c>
      <c r="P38" s="489">
        <f>O38</f>
        <v>1</v>
      </c>
      <c r="Q38" s="837">
        <f>P38</f>
        <v>1</v>
      </c>
      <c r="S38" s="717"/>
      <c r="T38" s="717"/>
      <c r="U38" s="717"/>
      <c r="V38" s="717"/>
      <c r="W38" s="8"/>
      <c r="X38" s="11"/>
    </row>
    <row r="39" spans="1:24" ht="12.75" customHeight="1" x14ac:dyDescent="0.2">
      <c r="A39" s="284"/>
      <c r="B39" s="11"/>
      <c r="C39" s="243" t="s">
        <v>330</v>
      </c>
      <c r="D39" s="101"/>
      <c r="E39" s="11"/>
      <c r="F39" s="11"/>
      <c r="G39" s="11"/>
      <c r="H39" s="52"/>
      <c r="I39" s="52">
        <f>$E$20*I38</f>
        <v>70</v>
      </c>
      <c r="J39" s="52">
        <f t="shared" ref="J39:Q39" si="10">$E$20*J38</f>
        <v>70</v>
      </c>
      <c r="K39" s="52">
        <f t="shared" si="10"/>
        <v>70</v>
      </c>
      <c r="L39" s="52">
        <f t="shared" si="10"/>
        <v>70</v>
      </c>
      <c r="M39" s="52">
        <f t="shared" si="10"/>
        <v>70</v>
      </c>
      <c r="N39" s="52">
        <f t="shared" si="10"/>
        <v>70</v>
      </c>
      <c r="O39" s="52">
        <f t="shared" si="10"/>
        <v>70</v>
      </c>
      <c r="P39" s="52">
        <f t="shared" si="10"/>
        <v>70</v>
      </c>
      <c r="Q39" s="797">
        <f t="shared" si="10"/>
        <v>70</v>
      </c>
      <c r="S39" s="59"/>
      <c r="T39" s="59"/>
      <c r="U39" s="59"/>
      <c r="V39" s="8"/>
      <c r="W39" s="8"/>
      <c r="X39" s="11"/>
    </row>
    <row r="40" spans="1:24" ht="12.75" customHeight="1" x14ac:dyDescent="0.2">
      <c r="A40" s="284"/>
      <c r="B40" s="11"/>
      <c r="C40" s="243" t="s">
        <v>335</v>
      </c>
      <c r="D40" s="11"/>
      <c r="E40" s="239"/>
      <c r="F40" s="11"/>
      <c r="G40" s="11"/>
      <c r="H40" s="52"/>
      <c r="I40" s="52">
        <f>L11</f>
        <v>56.25</v>
      </c>
      <c r="J40" s="52">
        <f>I40</f>
        <v>56.25</v>
      </c>
      <c r="K40" s="52">
        <f t="shared" ref="K40:Q40" si="11">J40</f>
        <v>56.25</v>
      </c>
      <c r="L40" s="52">
        <f t="shared" si="11"/>
        <v>56.25</v>
      </c>
      <c r="M40" s="52">
        <f t="shared" si="11"/>
        <v>56.25</v>
      </c>
      <c r="N40" s="52">
        <f t="shared" si="11"/>
        <v>56.25</v>
      </c>
      <c r="O40" s="52">
        <f t="shared" si="11"/>
        <v>56.25</v>
      </c>
      <c r="P40" s="52">
        <f t="shared" si="11"/>
        <v>56.25</v>
      </c>
      <c r="Q40" s="797">
        <f t="shared" si="11"/>
        <v>56.25</v>
      </c>
    </row>
    <row r="41" spans="1:24" ht="12.75" customHeight="1" x14ac:dyDescent="0.2">
      <c r="A41" s="284"/>
      <c r="B41" s="11"/>
      <c r="C41" s="243" t="s">
        <v>331</v>
      </c>
      <c r="D41" s="11"/>
      <c r="E41" s="239"/>
      <c r="F41" s="11"/>
      <c r="G41" s="11"/>
      <c r="H41" s="165"/>
      <c r="I41" s="165">
        <f t="shared" ref="I41:Q41" si="12">$L$25</f>
        <v>52</v>
      </c>
      <c r="J41" s="165">
        <f t="shared" si="12"/>
        <v>52</v>
      </c>
      <c r="K41" s="165">
        <f t="shared" si="12"/>
        <v>52</v>
      </c>
      <c r="L41" s="165">
        <f t="shared" si="12"/>
        <v>52</v>
      </c>
      <c r="M41" s="165">
        <f t="shared" si="12"/>
        <v>52</v>
      </c>
      <c r="N41" s="165">
        <f t="shared" si="12"/>
        <v>52</v>
      </c>
      <c r="O41" s="165">
        <f t="shared" si="12"/>
        <v>52</v>
      </c>
      <c r="P41" s="165">
        <f t="shared" si="12"/>
        <v>52</v>
      </c>
      <c r="Q41" s="842">
        <f t="shared" si="12"/>
        <v>52</v>
      </c>
    </row>
    <row r="42" spans="1:24" ht="12.75" customHeight="1" x14ac:dyDescent="0.2">
      <c r="A42" s="284"/>
      <c r="B42" s="10" t="s">
        <v>337</v>
      </c>
      <c r="C42" s="10"/>
      <c r="D42" s="57"/>
      <c r="E42" s="239"/>
      <c r="F42" s="11"/>
      <c r="G42" s="11"/>
      <c r="H42" s="53">
        <f t="shared" ref="H42:Q42" si="13">SUM(H39:H41)</f>
        <v>0</v>
      </c>
      <c r="I42" s="53">
        <f t="shared" si="13"/>
        <v>178.25</v>
      </c>
      <c r="J42" s="53">
        <f t="shared" si="13"/>
        <v>178.25</v>
      </c>
      <c r="K42" s="53">
        <f t="shared" si="13"/>
        <v>178.25</v>
      </c>
      <c r="L42" s="53">
        <f t="shared" si="13"/>
        <v>178.25</v>
      </c>
      <c r="M42" s="53">
        <f t="shared" si="13"/>
        <v>178.25</v>
      </c>
      <c r="N42" s="53">
        <f t="shared" si="13"/>
        <v>178.25</v>
      </c>
      <c r="O42" s="53">
        <f t="shared" si="13"/>
        <v>178.25</v>
      </c>
      <c r="P42" s="53">
        <f t="shared" si="13"/>
        <v>178.25</v>
      </c>
      <c r="Q42" s="840">
        <f t="shared" si="13"/>
        <v>178.25</v>
      </c>
      <c r="S42" s="56"/>
      <c r="T42" s="56"/>
      <c r="U42" s="56"/>
      <c r="V42" s="8"/>
      <c r="W42" s="8"/>
      <c r="X42" s="11"/>
    </row>
    <row r="43" spans="1:24" ht="12.75" customHeight="1" x14ac:dyDescent="0.2">
      <c r="A43" s="284"/>
      <c r="B43" s="243" t="s">
        <v>5</v>
      </c>
      <c r="C43" s="243"/>
      <c r="D43" s="57"/>
      <c r="E43" s="239"/>
      <c r="F43" s="11"/>
      <c r="G43" s="11"/>
      <c r="H43" s="12">
        <f>Sales!K134</f>
        <v>0</v>
      </c>
      <c r="I43" s="12">
        <f>Sales!K39</f>
        <v>53.555487815802238</v>
      </c>
      <c r="J43" s="12">
        <f>Sales!L39</f>
        <v>363.58601131396142</v>
      </c>
      <c r="K43" s="12">
        <f>Sales!M39</f>
        <v>713.74852852740025</v>
      </c>
      <c r="L43" s="12">
        <f>Sales!N39</f>
        <v>1015.2855831237696</v>
      </c>
      <c r="M43" s="12">
        <f>Sales!O39</f>
        <v>1280.1788650159629</v>
      </c>
      <c r="N43" s="12">
        <f>Sales!P39</f>
        <v>1507.7217756123653</v>
      </c>
      <c r="O43" s="12">
        <f>Sales!Q39</f>
        <v>1733.2250645512029</v>
      </c>
      <c r="P43" s="12">
        <f>Sales!R39</f>
        <v>1950.5608303385463</v>
      </c>
      <c r="Q43" s="795">
        <f>Sales!S39</f>
        <v>2070.6780583697946</v>
      </c>
      <c r="S43" s="54"/>
      <c r="T43" s="54"/>
      <c r="U43" s="54"/>
      <c r="V43" s="8"/>
      <c r="W43" s="8"/>
      <c r="X43" s="11"/>
    </row>
    <row r="44" spans="1:24" ht="12.75" customHeight="1" x14ac:dyDescent="0.2">
      <c r="A44" s="284"/>
      <c r="B44" s="11"/>
      <c r="C44" s="243" t="s">
        <v>329</v>
      </c>
      <c r="D44" s="18"/>
      <c r="E44" s="239"/>
      <c r="F44" s="11"/>
      <c r="G44" s="11"/>
      <c r="H44" s="251"/>
      <c r="I44" s="251">
        <f>I42/I43</f>
        <v>3.3283237119054871</v>
      </c>
      <c r="J44" s="251">
        <f t="shared" ref="J44:R44" si="14">J42/J43</f>
        <v>0.49025538511732986</v>
      </c>
      <c r="K44" s="251">
        <f t="shared" si="14"/>
        <v>0.24973781783867752</v>
      </c>
      <c r="L44" s="251">
        <f t="shared" si="14"/>
        <v>0.17556636572300291</v>
      </c>
      <c r="M44" s="251">
        <f t="shared" si="14"/>
        <v>0.13923835556977215</v>
      </c>
      <c r="N44" s="251">
        <f t="shared" si="14"/>
        <v>0.11822473010818145</v>
      </c>
      <c r="O44" s="251">
        <f t="shared" si="14"/>
        <v>0.10284296231670041</v>
      </c>
      <c r="P44" s="251">
        <f t="shared" si="14"/>
        <v>9.1383973894862996E-2</v>
      </c>
      <c r="Q44" s="843">
        <f t="shared" si="14"/>
        <v>8.6082913410659712E-2</v>
      </c>
      <c r="S44" s="81"/>
      <c r="T44" s="81"/>
      <c r="U44" s="81"/>
      <c r="V44" s="8"/>
      <c r="W44" s="8"/>
      <c r="X44" s="11"/>
    </row>
    <row r="45" spans="1:24" ht="12.75" customHeight="1" x14ac:dyDescent="0.2">
      <c r="A45" s="284"/>
      <c r="B45" s="11"/>
      <c r="C45" s="243"/>
      <c r="D45" s="18"/>
      <c r="E45" s="239"/>
      <c r="F45" s="11"/>
      <c r="G45" s="11"/>
      <c r="H45" s="251"/>
      <c r="I45" s="251"/>
      <c r="J45" s="251"/>
      <c r="K45" s="251"/>
      <c r="L45" s="251"/>
      <c r="M45" s="251"/>
      <c r="N45" s="251"/>
      <c r="O45" s="251"/>
      <c r="P45" s="251"/>
      <c r="Q45" s="843"/>
      <c r="S45" s="81"/>
      <c r="T45" s="81"/>
      <c r="U45" s="81"/>
      <c r="V45" s="8"/>
      <c r="W45" s="8"/>
      <c r="X45" s="11"/>
    </row>
    <row r="46" spans="1:24" ht="12.75" customHeight="1" x14ac:dyDescent="0.2">
      <c r="A46" s="284"/>
      <c r="B46" s="6" t="s">
        <v>382</v>
      </c>
      <c r="C46" s="243"/>
      <c r="D46" s="18"/>
      <c r="E46" s="239"/>
      <c r="F46" s="11"/>
      <c r="G46" s="11"/>
      <c r="H46" s="730">
        <f>H34+H42</f>
        <v>109.33333333333334</v>
      </c>
      <c r="I46" s="730">
        <f t="shared" ref="I46:Q46" si="15">I34+I42</f>
        <v>287.58333333333337</v>
      </c>
      <c r="J46" s="730">
        <f t="shared" si="15"/>
        <v>287.58333333333337</v>
      </c>
      <c r="K46" s="730">
        <f t="shared" si="15"/>
        <v>287.58333333333337</v>
      </c>
      <c r="L46" s="730">
        <f t="shared" si="15"/>
        <v>287.58333333333337</v>
      </c>
      <c r="M46" s="730">
        <f t="shared" si="15"/>
        <v>287.58333333333337</v>
      </c>
      <c r="N46" s="730">
        <f t="shared" si="15"/>
        <v>287.58333333333337</v>
      </c>
      <c r="O46" s="730">
        <f t="shared" si="15"/>
        <v>287.58333333333337</v>
      </c>
      <c r="P46" s="730">
        <f t="shared" si="15"/>
        <v>287.58333333333337</v>
      </c>
      <c r="Q46" s="844">
        <f t="shared" si="15"/>
        <v>287.58333333333337</v>
      </c>
      <c r="S46" s="81"/>
      <c r="T46" s="81"/>
      <c r="U46" s="81"/>
      <c r="V46" s="8"/>
      <c r="W46" s="8"/>
      <c r="X46" s="11"/>
    </row>
    <row r="47" spans="1:24" ht="12.75" customHeight="1" x14ac:dyDescent="0.2">
      <c r="A47" s="284"/>
      <c r="B47" s="243" t="s">
        <v>5</v>
      </c>
      <c r="C47" s="243"/>
      <c r="D47" s="18"/>
      <c r="E47" s="239"/>
      <c r="F47" s="11"/>
      <c r="G47" s="11"/>
      <c r="H47" s="730">
        <f>H35+H43</f>
        <v>71.165834772232131</v>
      </c>
      <c r="I47" s="730">
        <f t="shared" ref="I47:Q47" si="16">I35+I43</f>
        <v>444.21451233115005</v>
      </c>
      <c r="J47" s="730">
        <f t="shared" si="16"/>
        <v>1040.359961145009</v>
      </c>
      <c r="K47" s="730">
        <f t="shared" si="16"/>
        <v>1859.365329504978</v>
      </c>
      <c r="L47" s="730">
        <f t="shared" si="16"/>
        <v>2490.7782387615471</v>
      </c>
      <c r="M47" s="730">
        <f t="shared" si="16"/>
        <v>3065.54804273432</v>
      </c>
      <c r="N47" s="730">
        <f t="shared" si="16"/>
        <v>3635.2903534855377</v>
      </c>
      <c r="O47" s="730">
        <f t="shared" si="16"/>
        <v>4137.5166947750786</v>
      </c>
      <c r="P47" s="730">
        <f t="shared" si="16"/>
        <v>4651.3379613805355</v>
      </c>
      <c r="Q47" s="844">
        <f t="shared" si="16"/>
        <v>4972.5150004147199</v>
      </c>
      <c r="S47" s="81"/>
      <c r="T47" s="81"/>
      <c r="U47" s="81"/>
      <c r="V47" s="8"/>
      <c r="W47" s="8"/>
      <c r="X47" s="11"/>
    </row>
    <row r="48" spans="1:24" ht="12.75" customHeight="1" x14ac:dyDescent="0.2">
      <c r="A48" s="284"/>
      <c r="B48" s="11"/>
      <c r="C48" s="243" t="s">
        <v>329</v>
      </c>
      <c r="D48" s="18"/>
      <c r="E48" s="239"/>
      <c r="F48" s="11"/>
      <c r="G48" s="11"/>
      <c r="H48" s="251">
        <f>H46/H47</f>
        <v>1.5363177244144912</v>
      </c>
      <c r="I48" s="251">
        <f t="shared" ref="I48:R48" si="17">I46/I47</f>
        <v>0.64739742928287691</v>
      </c>
      <c r="J48" s="251">
        <f t="shared" si="17"/>
        <v>0.27642676003872951</v>
      </c>
      <c r="K48" s="251">
        <f t="shared" si="17"/>
        <v>0.15466747108267162</v>
      </c>
      <c r="L48" s="251">
        <f t="shared" si="17"/>
        <v>0.11545922830782566</v>
      </c>
      <c r="M48" s="251">
        <f t="shared" si="17"/>
        <v>9.3811393370571025E-2</v>
      </c>
      <c r="N48" s="251">
        <f t="shared" si="17"/>
        <v>7.9108765839734585E-2</v>
      </c>
      <c r="O48" s="251">
        <f t="shared" si="17"/>
        <v>6.9506265363593125E-2</v>
      </c>
      <c r="P48" s="251">
        <f t="shared" si="17"/>
        <v>6.1828088115957393E-2</v>
      </c>
      <c r="Q48" s="843">
        <f t="shared" si="17"/>
        <v>5.7834583366636043E-2</v>
      </c>
      <c r="S48" s="81"/>
      <c r="T48" s="81"/>
      <c r="U48" s="81"/>
      <c r="V48" s="8"/>
      <c r="W48" s="8"/>
      <c r="X48" s="11"/>
    </row>
    <row r="49" spans="1:25" ht="12.75" customHeight="1" x14ac:dyDescent="0.2">
      <c r="A49" s="290"/>
      <c r="B49" s="21"/>
      <c r="C49" s="445"/>
      <c r="D49" s="251"/>
      <c r="E49" s="451"/>
      <c r="F49" s="21"/>
      <c r="G49" s="21"/>
      <c r="H49" s="251"/>
      <c r="I49" s="251"/>
      <c r="J49" s="251"/>
      <c r="K49" s="251"/>
      <c r="L49" s="251"/>
      <c r="M49" s="251"/>
      <c r="N49" s="251"/>
      <c r="O49" s="251"/>
      <c r="P49" s="251"/>
      <c r="Q49" s="843"/>
      <c r="S49" s="81"/>
      <c r="T49" s="81"/>
      <c r="U49" s="81"/>
      <c r="V49" s="8"/>
      <c r="W49" s="8"/>
      <c r="X49" s="11"/>
    </row>
    <row r="50" spans="1:25" ht="12.75" customHeight="1" x14ac:dyDescent="0.2">
      <c r="A50" s="293"/>
      <c r="B50" s="287"/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287"/>
      <c r="Q50" s="288"/>
      <c r="S50" s="8"/>
      <c r="T50" s="8"/>
      <c r="U50" s="8"/>
      <c r="V50" s="8"/>
      <c r="W50" s="8"/>
      <c r="X50" s="11"/>
    </row>
    <row r="51" spans="1:25" x14ac:dyDescent="0.2">
      <c r="A51" s="456" t="s">
        <v>577</v>
      </c>
      <c r="B51" s="11"/>
      <c r="C51" s="11"/>
      <c r="D51" s="11"/>
      <c r="E51" s="11"/>
      <c r="F51" s="11"/>
      <c r="G51" s="10" t="s">
        <v>295</v>
      </c>
      <c r="H51" s="827">
        <v>0.5</v>
      </c>
      <c r="I51" s="827">
        <v>1.3</v>
      </c>
      <c r="J51" s="827">
        <v>2.15</v>
      </c>
      <c r="K51" s="827">
        <v>2.4</v>
      </c>
      <c r="L51" s="827">
        <v>2.4</v>
      </c>
      <c r="M51" s="827">
        <v>2.4</v>
      </c>
      <c r="N51" s="827">
        <v>2.4</v>
      </c>
      <c r="O51" s="827">
        <v>2.4</v>
      </c>
      <c r="P51" s="827">
        <v>2.4</v>
      </c>
      <c r="Q51" s="845">
        <v>2.4</v>
      </c>
      <c r="S51" s="489"/>
      <c r="T51" s="489"/>
      <c r="U51" s="11"/>
      <c r="V51" s="78"/>
      <c r="W51" s="11"/>
      <c r="X51" s="11"/>
    </row>
    <row r="52" spans="1:25" x14ac:dyDescent="0.2">
      <c r="A52" s="456"/>
      <c r="B52" s="11"/>
      <c r="C52" s="11"/>
      <c r="D52" s="11"/>
      <c r="E52" s="11"/>
      <c r="F52" s="11"/>
      <c r="G52" s="10" t="s">
        <v>518</v>
      </c>
      <c r="H52" s="827"/>
      <c r="I52" s="827">
        <v>0.25</v>
      </c>
      <c r="J52" s="827">
        <v>0.8</v>
      </c>
      <c r="K52" s="827">
        <v>1.45</v>
      </c>
      <c r="L52" s="827">
        <v>1.45</v>
      </c>
      <c r="M52" s="827">
        <v>1.4</v>
      </c>
      <c r="N52" s="827">
        <v>1.4</v>
      </c>
      <c r="O52" s="827">
        <v>1.4</v>
      </c>
      <c r="P52" s="827">
        <v>1.4</v>
      </c>
      <c r="Q52" s="845">
        <v>1.4</v>
      </c>
      <c r="S52" s="489"/>
      <c r="T52" s="489"/>
      <c r="U52" s="11"/>
      <c r="V52" s="78"/>
      <c r="W52" s="11"/>
      <c r="X52" s="11"/>
    </row>
    <row r="53" spans="1:25" x14ac:dyDescent="0.2">
      <c r="A53" s="284"/>
      <c r="B53" s="11"/>
      <c r="C53" s="11"/>
      <c r="D53" s="11"/>
      <c r="E53" s="252"/>
      <c r="F53" s="252"/>
      <c r="G53" s="253"/>
      <c r="H53" s="407"/>
      <c r="I53" s="84"/>
      <c r="J53" s="84"/>
      <c r="K53" s="84"/>
      <c r="L53" s="84"/>
      <c r="M53" s="84"/>
      <c r="N53" s="84"/>
      <c r="O53" s="84"/>
      <c r="P53" s="84"/>
      <c r="Q53" s="846"/>
      <c r="S53" s="84"/>
      <c r="T53" s="84"/>
      <c r="U53" s="84"/>
      <c r="V53" s="84"/>
      <c r="W53" s="11"/>
      <c r="X53" s="11"/>
    </row>
    <row r="54" spans="1:25" ht="15.75" x14ac:dyDescent="0.25">
      <c r="A54" s="310" t="s">
        <v>138</v>
      </c>
      <c r="B54" s="11"/>
      <c r="C54" s="11"/>
      <c r="D54" s="243"/>
      <c r="E54" s="517">
        <f>F1+1</f>
        <v>2009</v>
      </c>
      <c r="F54" s="517">
        <f t="shared" ref="F54:N54" si="18">E54+1</f>
        <v>2010</v>
      </c>
      <c r="G54" s="517">
        <f t="shared" si="18"/>
        <v>2011</v>
      </c>
      <c r="H54" s="517">
        <f t="shared" si="18"/>
        <v>2012</v>
      </c>
      <c r="I54" s="517">
        <f t="shared" si="18"/>
        <v>2013</v>
      </c>
      <c r="J54" s="517">
        <f t="shared" si="18"/>
        <v>2014</v>
      </c>
      <c r="K54" s="517">
        <f t="shared" si="18"/>
        <v>2015</v>
      </c>
      <c r="L54" s="517">
        <f t="shared" si="18"/>
        <v>2016</v>
      </c>
      <c r="M54" s="517">
        <f t="shared" si="18"/>
        <v>2017</v>
      </c>
      <c r="N54" s="517">
        <f t="shared" si="18"/>
        <v>2018</v>
      </c>
      <c r="O54" s="517">
        <f t="shared" ref="O54:Q54" si="19">N54+1</f>
        <v>2019</v>
      </c>
      <c r="P54" s="517">
        <f t="shared" si="19"/>
        <v>2020</v>
      </c>
      <c r="Q54" s="214">
        <f t="shared" si="19"/>
        <v>2021</v>
      </c>
      <c r="S54" s="517"/>
      <c r="T54" s="517"/>
      <c r="U54" s="517"/>
      <c r="V54" s="517"/>
      <c r="W54" s="11"/>
      <c r="X54" s="11"/>
    </row>
    <row r="55" spans="1:25" x14ac:dyDescent="0.2">
      <c r="A55" s="284"/>
      <c r="B55" s="10" t="s">
        <v>176</v>
      </c>
      <c r="C55" s="11"/>
      <c r="D55" s="450" t="s">
        <v>295</v>
      </c>
      <c r="E55" s="180"/>
      <c r="F55" s="180"/>
      <c r="G55" s="180"/>
      <c r="H55" s="731">
        <f t="shared" ref="H55:Q55" si="20">H51*H34</f>
        <v>54.666666666666671</v>
      </c>
      <c r="I55" s="731">
        <f t="shared" si="20"/>
        <v>142.13333333333335</v>
      </c>
      <c r="J55" s="731">
        <f t="shared" si="20"/>
        <v>235.06666666666669</v>
      </c>
      <c r="K55" s="731">
        <f t="shared" si="20"/>
        <v>262.40000000000003</v>
      </c>
      <c r="L55" s="731">
        <f t="shared" si="20"/>
        <v>262.40000000000003</v>
      </c>
      <c r="M55" s="731">
        <f t="shared" si="20"/>
        <v>262.40000000000003</v>
      </c>
      <c r="N55" s="731">
        <f t="shared" si="20"/>
        <v>262.40000000000003</v>
      </c>
      <c r="O55" s="731">
        <f t="shared" si="20"/>
        <v>262.40000000000003</v>
      </c>
      <c r="P55" s="731">
        <f t="shared" si="20"/>
        <v>262.40000000000003</v>
      </c>
      <c r="Q55" s="847">
        <f t="shared" si="20"/>
        <v>262.40000000000003</v>
      </c>
      <c r="S55" s="82"/>
      <c r="T55" s="82"/>
      <c r="U55" s="82"/>
      <c r="V55" s="82"/>
      <c r="W55" s="180"/>
      <c r="X55" s="11"/>
    </row>
    <row r="56" spans="1:25" x14ac:dyDescent="0.2">
      <c r="A56" s="284"/>
      <c r="B56" s="10"/>
      <c r="C56" s="244" t="s">
        <v>635</v>
      </c>
      <c r="D56" s="826">
        <f>Control!I16</f>
        <v>0.5</v>
      </c>
      <c r="E56" s="11"/>
      <c r="F56" s="11"/>
      <c r="G56" s="11"/>
      <c r="H56" s="898">
        <f>IF($D$56&gt;0,H81,0)</f>
        <v>10</v>
      </c>
      <c r="I56" s="898">
        <f>IF($D$56&gt;0,I81,0)</f>
        <v>26</v>
      </c>
      <c r="J56" s="898">
        <f>IF($D$56&gt;0,J81,0)</f>
        <v>43</v>
      </c>
      <c r="K56" s="898">
        <f>IF($D$56&gt;0,K81,0)</f>
        <v>48</v>
      </c>
      <c r="L56" s="898">
        <f>IF($D$56&gt;0,L81,0)</f>
        <v>48</v>
      </c>
      <c r="M56" s="898">
        <f>IF($D$56&gt;0,M81,0)</f>
        <v>48</v>
      </c>
      <c r="N56" s="898">
        <f>IF($D$56&gt;0,N81,0)</f>
        <v>48</v>
      </c>
      <c r="O56" s="898">
        <f>IF($D$56&gt;0,O81,0)</f>
        <v>48</v>
      </c>
      <c r="P56" s="898">
        <f>IF($D$56&gt;0,P81,0)</f>
        <v>48</v>
      </c>
      <c r="Q56" s="977">
        <f>IF($D$56&gt;0,Q81,0)</f>
        <v>48</v>
      </c>
      <c r="S56" s="82"/>
      <c r="T56" s="82"/>
      <c r="U56" s="82"/>
      <c r="V56" s="82"/>
      <c r="W56" s="180"/>
      <c r="X56" s="11"/>
    </row>
    <row r="57" spans="1:25" x14ac:dyDescent="0.2">
      <c r="A57" s="284"/>
      <c r="B57" s="11"/>
      <c r="C57" s="11"/>
      <c r="D57" s="450" t="s">
        <v>381</v>
      </c>
      <c r="E57" s="166"/>
      <c r="F57" s="166"/>
      <c r="G57" s="166"/>
      <c r="H57" s="21"/>
      <c r="I57" s="732">
        <f t="shared" ref="I57:Q57" si="21">I52*I42</f>
        <v>44.5625</v>
      </c>
      <c r="J57" s="732">
        <f t="shared" si="21"/>
        <v>142.6</v>
      </c>
      <c r="K57" s="732">
        <f t="shared" si="21"/>
        <v>258.46249999999998</v>
      </c>
      <c r="L57" s="732">
        <f t="shared" si="21"/>
        <v>258.46249999999998</v>
      </c>
      <c r="M57" s="732">
        <f t="shared" si="21"/>
        <v>249.54999999999998</v>
      </c>
      <c r="N57" s="732">
        <f t="shared" si="21"/>
        <v>249.54999999999998</v>
      </c>
      <c r="O57" s="732">
        <f t="shared" si="21"/>
        <v>249.54999999999998</v>
      </c>
      <c r="P57" s="732">
        <f t="shared" si="21"/>
        <v>249.54999999999998</v>
      </c>
      <c r="Q57" s="848">
        <f t="shared" si="21"/>
        <v>249.54999999999998</v>
      </c>
      <c r="S57" s="12"/>
      <c r="T57" s="12"/>
      <c r="U57" s="12"/>
      <c r="V57" s="12"/>
      <c r="W57" s="12"/>
      <c r="X57" s="11"/>
    </row>
    <row r="58" spans="1:25" x14ac:dyDescent="0.2">
      <c r="A58" s="284"/>
      <c r="B58" s="11"/>
      <c r="C58" s="11"/>
      <c r="D58" s="53" t="s">
        <v>4</v>
      </c>
      <c r="E58" s="180"/>
      <c r="F58" s="180"/>
      <c r="G58" s="180"/>
      <c r="H58" s="855">
        <f>SUM(H55:H57)</f>
        <v>64.666666666666671</v>
      </c>
      <c r="I58" s="855">
        <f t="shared" ref="I58:Q58" si="22">SUM(I55:I57)</f>
        <v>212.69583333333335</v>
      </c>
      <c r="J58" s="855">
        <f t="shared" si="22"/>
        <v>420.66666666666674</v>
      </c>
      <c r="K58" s="855">
        <f t="shared" si="22"/>
        <v>568.86249999999995</v>
      </c>
      <c r="L58" s="855">
        <f t="shared" si="22"/>
        <v>568.86249999999995</v>
      </c>
      <c r="M58" s="855">
        <f t="shared" si="22"/>
        <v>559.95000000000005</v>
      </c>
      <c r="N58" s="855">
        <f t="shared" si="22"/>
        <v>559.95000000000005</v>
      </c>
      <c r="O58" s="855">
        <f t="shared" si="22"/>
        <v>559.95000000000005</v>
      </c>
      <c r="P58" s="855">
        <f t="shared" si="22"/>
        <v>559.95000000000005</v>
      </c>
      <c r="Q58" s="856">
        <f t="shared" si="22"/>
        <v>559.95000000000005</v>
      </c>
      <c r="S58" s="12"/>
      <c r="T58" s="12"/>
      <c r="U58" s="12"/>
      <c r="V58" s="12"/>
      <c r="W58" s="12"/>
      <c r="X58" s="11"/>
    </row>
    <row r="59" spans="1:25" x14ac:dyDescent="0.2">
      <c r="A59" s="284"/>
      <c r="B59" s="11"/>
      <c r="C59" s="11"/>
      <c r="D59" s="52"/>
      <c r="E59" s="12"/>
      <c r="F59" s="12"/>
      <c r="G59" s="12"/>
      <c r="H59" s="11"/>
      <c r="I59" s="270"/>
      <c r="J59" s="270"/>
      <c r="K59" s="270"/>
      <c r="L59" s="270"/>
      <c r="M59" s="270"/>
      <c r="N59" s="270"/>
      <c r="O59" s="270"/>
      <c r="P59" s="270"/>
      <c r="Q59" s="850"/>
      <c r="S59" s="12"/>
      <c r="T59" s="12"/>
      <c r="U59" s="12"/>
      <c r="V59" s="12"/>
      <c r="W59" s="12"/>
      <c r="X59" s="11"/>
    </row>
    <row r="60" spans="1:25" x14ac:dyDescent="0.2">
      <c r="A60" s="284"/>
      <c r="B60" s="6" t="s">
        <v>382</v>
      </c>
      <c r="C60" s="11"/>
      <c r="D60" s="52"/>
      <c r="E60" s="12"/>
      <c r="F60" s="12"/>
      <c r="G60" s="12"/>
      <c r="H60" s="579">
        <f t="shared" ref="H60:Q60" si="23">H47</f>
        <v>71.165834772232131</v>
      </c>
      <c r="I60" s="579">
        <f t="shared" si="23"/>
        <v>444.21451233115005</v>
      </c>
      <c r="J60" s="579">
        <f t="shared" si="23"/>
        <v>1040.359961145009</v>
      </c>
      <c r="K60" s="579">
        <f t="shared" si="23"/>
        <v>1859.365329504978</v>
      </c>
      <c r="L60" s="579">
        <f t="shared" si="23"/>
        <v>2490.7782387615471</v>
      </c>
      <c r="M60" s="579">
        <f t="shared" si="23"/>
        <v>3065.54804273432</v>
      </c>
      <c r="N60" s="579">
        <f t="shared" si="23"/>
        <v>3635.2903534855377</v>
      </c>
      <c r="O60" s="579">
        <f t="shared" si="23"/>
        <v>4137.5166947750786</v>
      </c>
      <c r="P60" s="579">
        <f t="shared" si="23"/>
        <v>4651.3379613805355</v>
      </c>
      <c r="Q60" s="595">
        <f t="shared" si="23"/>
        <v>4972.5150004147199</v>
      </c>
      <c r="S60" s="12"/>
      <c r="T60" s="12"/>
      <c r="U60" s="12"/>
      <c r="V60" s="12"/>
      <c r="W60" s="12"/>
      <c r="X60" s="11"/>
      <c r="Y60" s="11"/>
    </row>
    <row r="61" spans="1:25" x14ac:dyDescent="0.2">
      <c r="A61" s="284"/>
      <c r="B61" s="6"/>
      <c r="C61" s="11" t="s">
        <v>95</v>
      </c>
      <c r="D61" s="298"/>
      <c r="E61" s="11"/>
      <c r="F61" s="11"/>
      <c r="G61" s="11"/>
      <c r="H61" s="261">
        <f t="shared" ref="H61:R61" si="24">H55/H35</f>
        <v>0.76815886220724561</v>
      </c>
      <c r="I61" s="261">
        <f t="shared" si="24"/>
        <v>0.36382964276753671</v>
      </c>
      <c r="J61" s="261">
        <f t="shared" si="24"/>
        <v>0.3473340939398592</v>
      </c>
      <c r="K61" s="261">
        <f t="shared" si="24"/>
        <v>0.22904692020585665</v>
      </c>
      <c r="L61" s="261">
        <f t="shared" si="24"/>
        <v>0.17783890621033172</v>
      </c>
      <c r="M61" s="261">
        <f t="shared" si="24"/>
        <v>0.14697240395700042</v>
      </c>
      <c r="N61" s="261">
        <f t="shared" si="24"/>
        <v>0.12333327476678034</v>
      </c>
      <c r="O61" s="261">
        <f t="shared" si="24"/>
        <v>0.10913817471284325</v>
      </c>
      <c r="P61" s="261">
        <f t="shared" si="24"/>
        <v>9.7157220780658513E-2</v>
      </c>
      <c r="Q61" s="851">
        <f t="shared" si="24"/>
        <v>9.0425480563041796E-2</v>
      </c>
      <c r="S61" s="12"/>
      <c r="T61" s="12"/>
      <c r="U61" s="12"/>
      <c r="V61" s="12"/>
      <c r="W61" s="12"/>
      <c r="X61" s="11"/>
      <c r="Y61" s="11"/>
    </row>
    <row r="62" spans="1:25" x14ac:dyDescent="0.2">
      <c r="A62" s="284"/>
      <c r="B62" s="6"/>
      <c r="C62" s="11" t="s">
        <v>95</v>
      </c>
      <c r="D62" s="298"/>
      <c r="E62" s="11"/>
      <c r="F62" s="11"/>
      <c r="G62" s="11"/>
      <c r="H62" s="788"/>
      <c r="I62" s="261">
        <f t="shared" ref="I62:R62" si="25">I57/I43</f>
        <v>0.83208092797637179</v>
      </c>
      <c r="J62" s="261">
        <f t="shared" si="25"/>
        <v>0.39220430809386386</v>
      </c>
      <c r="K62" s="261">
        <f t="shared" si="25"/>
        <v>0.36211983586608237</v>
      </c>
      <c r="L62" s="261">
        <f t="shared" si="25"/>
        <v>0.25457123029835421</v>
      </c>
      <c r="M62" s="261">
        <f t="shared" si="25"/>
        <v>0.19493369779768102</v>
      </c>
      <c r="N62" s="261">
        <f t="shared" si="25"/>
        <v>0.16551462215145402</v>
      </c>
      <c r="O62" s="261">
        <f t="shared" si="25"/>
        <v>0.14398014724338057</v>
      </c>
      <c r="P62" s="261">
        <f t="shared" si="25"/>
        <v>0.12793756345280818</v>
      </c>
      <c r="Q62" s="851">
        <f t="shared" si="25"/>
        <v>0.12051607877492358</v>
      </c>
      <c r="S62" s="12"/>
      <c r="T62" s="12"/>
      <c r="U62" s="12"/>
      <c r="V62" s="12"/>
      <c r="W62" s="12"/>
      <c r="X62" s="11"/>
      <c r="Y62" s="11"/>
    </row>
    <row r="63" spans="1:25" x14ac:dyDescent="0.2">
      <c r="A63" s="284"/>
      <c r="B63" s="11"/>
      <c r="C63" s="11" t="s">
        <v>95</v>
      </c>
      <c r="D63" s="298"/>
      <c r="E63" s="11"/>
      <c r="F63" s="11"/>
      <c r="G63" s="11"/>
      <c r="H63" s="261">
        <f>H58/H60</f>
        <v>0.90867572724515644</v>
      </c>
      <c r="I63" s="261">
        <f t="shared" ref="I63:R63" si="26">I58/I60</f>
        <v>0.47881333776590868</v>
      </c>
      <c r="J63" s="261">
        <f t="shared" si="26"/>
        <v>0.40434722824558289</v>
      </c>
      <c r="K63" s="261">
        <f t="shared" si="26"/>
        <v>0.30594444834111711</v>
      </c>
      <c r="L63" s="261">
        <f t="shared" si="26"/>
        <v>0.2283874538276226</v>
      </c>
      <c r="M63" s="261">
        <f t="shared" si="26"/>
        <v>0.18265901959264413</v>
      </c>
      <c r="N63" s="261">
        <f t="shared" si="26"/>
        <v>0.1540317128900355</v>
      </c>
      <c r="O63" s="261">
        <f t="shared" si="26"/>
        <v>0.13533480135732473</v>
      </c>
      <c r="P63" s="261">
        <f t="shared" si="26"/>
        <v>0.12038471610732079</v>
      </c>
      <c r="Q63" s="851">
        <f t="shared" si="26"/>
        <v>0.1126090117281293</v>
      </c>
      <c r="S63" s="18"/>
      <c r="T63" s="18"/>
      <c r="U63" s="18"/>
      <c r="V63" s="18"/>
      <c r="W63" s="18"/>
      <c r="X63" s="11"/>
      <c r="Y63" s="11"/>
    </row>
    <row r="64" spans="1:25" ht="8.25" customHeight="1" x14ac:dyDescent="0.2">
      <c r="A64" s="290"/>
      <c r="B64" s="21"/>
      <c r="C64" s="21"/>
      <c r="D64" s="21"/>
      <c r="E64" s="21"/>
      <c r="F64" s="21"/>
      <c r="G64" s="21"/>
      <c r="H64" s="21"/>
      <c r="I64" s="21"/>
      <c r="J64" s="251"/>
      <c r="K64" s="251"/>
      <c r="L64" s="251"/>
      <c r="M64" s="251"/>
      <c r="N64" s="251"/>
      <c r="O64" s="251"/>
      <c r="P64" s="251"/>
      <c r="Q64" s="843"/>
      <c r="S64" s="18"/>
      <c r="T64" s="18"/>
      <c r="U64" s="18"/>
      <c r="V64" s="18"/>
      <c r="W64" s="18"/>
      <c r="X64" s="11"/>
      <c r="Y64" s="11"/>
    </row>
    <row r="65" spans="1:25" ht="15.75" x14ac:dyDescent="0.25">
      <c r="A65" s="309" t="s">
        <v>600</v>
      </c>
      <c r="B65" s="287"/>
      <c r="C65" s="287"/>
      <c r="D65" s="287"/>
      <c r="E65" s="287"/>
      <c r="F65" s="366"/>
      <c r="G65" s="287"/>
      <c r="H65" s="287"/>
      <c r="I65" s="287"/>
      <c r="J65" s="287"/>
      <c r="K65" s="287"/>
      <c r="L65" s="287"/>
      <c r="M65" s="296"/>
      <c r="N65" s="287"/>
      <c r="O65" s="296"/>
      <c r="P65" s="296"/>
      <c r="Q65" s="852"/>
      <c r="R65" s="18"/>
      <c r="S65" s="18"/>
      <c r="T65" s="18"/>
      <c r="U65" s="18"/>
      <c r="V65" s="18"/>
      <c r="W65" s="18"/>
      <c r="X65" s="11"/>
      <c r="Y65" s="11"/>
    </row>
    <row r="66" spans="1:25" ht="15.75" x14ac:dyDescent="0.25">
      <c r="A66" s="310"/>
      <c r="B66" s="244"/>
      <c r="C66" s="6" t="s">
        <v>35</v>
      </c>
      <c r="D66" s="11"/>
      <c r="E66" s="517">
        <f>E54</f>
        <v>2009</v>
      </c>
      <c r="F66" s="517">
        <f t="shared" ref="F66" si="27">E66+1</f>
        <v>2010</v>
      </c>
      <c r="G66" s="517">
        <f t="shared" ref="G66" si="28">F66+1</f>
        <v>2011</v>
      </c>
      <c r="H66" s="517">
        <f t="shared" ref="H66" si="29">G66+1</f>
        <v>2012</v>
      </c>
      <c r="I66" s="517">
        <f t="shared" ref="I66" si="30">H66+1</f>
        <v>2013</v>
      </c>
      <c r="J66" s="517">
        <f t="shared" ref="J66" si="31">I66+1</f>
        <v>2014</v>
      </c>
      <c r="K66" s="517">
        <f t="shared" ref="K66" si="32">J66+1</f>
        <v>2015</v>
      </c>
      <c r="L66" s="517">
        <f t="shared" ref="L66" si="33">K66+1</f>
        <v>2016</v>
      </c>
      <c r="M66" s="517">
        <f t="shared" ref="M66" si="34">L66+1</f>
        <v>2017</v>
      </c>
      <c r="N66" s="517">
        <f t="shared" ref="N66" si="35">M66+1</f>
        <v>2018</v>
      </c>
      <c r="O66" s="517">
        <f t="shared" ref="O66" si="36">N66+1</f>
        <v>2019</v>
      </c>
      <c r="P66" s="517">
        <f t="shared" ref="P66" si="37">O66+1</f>
        <v>2020</v>
      </c>
      <c r="Q66" s="214">
        <f t="shared" ref="Q66" si="38">P66+1</f>
        <v>2021</v>
      </c>
      <c r="R66" s="18"/>
      <c r="S66" s="18"/>
      <c r="T66" s="18"/>
      <c r="U66" s="18"/>
      <c r="V66" s="18"/>
      <c r="W66" s="18"/>
      <c r="X66" s="11"/>
      <c r="Y66" s="11"/>
    </row>
    <row r="67" spans="1:25" ht="15.75" x14ac:dyDescent="0.25">
      <c r="A67" s="310"/>
      <c r="B67" s="11"/>
      <c r="C67" s="243" t="s">
        <v>279</v>
      </c>
      <c r="D67" s="11"/>
      <c r="E67" s="11"/>
      <c r="F67" s="789"/>
      <c r="G67" s="11"/>
      <c r="H67" s="790">
        <f>Sales!J38</f>
        <v>71.165834772232131</v>
      </c>
      <c r="I67" s="790">
        <f>Sales!K38</f>
        <v>390.65902451534782</v>
      </c>
      <c r="J67" s="790">
        <f>Sales!L38</f>
        <v>676.77394983104773</v>
      </c>
      <c r="K67" s="790">
        <f>Sales!M38</f>
        <v>1145.6168009775779</v>
      </c>
      <c r="L67" s="790">
        <f>Sales!N38</f>
        <v>1475.4926556377777</v>
      </c>
      <c r="M67" s="790">
        <f>Sales!O38</f>
        <v>1785.3691777183569</v>
      </c>
      <c r="N67" s="790">
        <f>Sales!P38</f>
        <v>2127.5685778731722</v>
      </c>
      <c r="O67" s="790">
        <f>Sales!Q38</f>
        <v>2404.2916302238755</v>
      </c>
      <c r="P67" s="790">
        <f>Sales!R38</f>
        <v>2700.7771310419894</v>
      </c>
      <c r="Q67" s="853">
        <f>Sales!S38</f>
        <v>2901.8369420449253</v>
      </c>
      <c r="R67" s="18"/>
      <c r="S67" s="18"/>
      <c r="T67" s="18"/>
      <c r="U67" s="18"/>
      <c r="V67" s="18"/>
      <c r="W67" s="18"/>
      <c r="X67" s="11"/>
      <c r="Y67" s="11"/>
    </row>
    <row r="68" spans="1:25" ht="15.75" x14ac:dyDescent="0.25">
      <c r="A68" s="310"/>
      <c r="B68" s="11"/>
      <c r="C68" s="243" t="s">
        <v>621</v>
      </c>
      <c r="D68" s="11"/>
      <c r="E68" s="11"/>
      <c r="F68" s="789"/>
      <c r="G68" s="11"/>
      <c r="H68" s="586">
        <f>Sales!J78</f>
        <v>71.165834772232131</v>
      </c>
      <c r="I68" s="586">
        <f>Sales!K78</f>
        <v>390.65902451534782</v>
      </c>
      <c r="J68" s="586">
        <f>Sales!L78</f>
        <v>676.77394983104773</v>
      </c>
      <c r="K68" s="586">
        <f>Sales!M78</f>
        <v>1145.6168009775779</v>
      </c>
      <c r="L68" s="586">
        <f>Sales!N78</f>
        <v>1475.4926556377777</v>
      </c>
      <c r="M68" s="586">
        <f>Sales!O78</f>
        <v>1785.3691777183569</v>
      </c>
      <c r="N68" s="586">
        <f>Sales!P78</f>
        <v>2127.5685778731722</v>
      </c>
      <c r="O68" s="586">
        <f>Sales!Q78</f>
        <v>2404.2916302238755</v>
      </c>
      <c r="P68" s="586">
        <f>Sales!R78</f>
        <v>2700.7771310419894</v>
      </c>
      <c r="Q68" s="585">
        <f>Sales!S78</f>
        <v>2901.8369420449253</v>
      </c>
      <c r="R68" s="18"/>
      <c r="S68" s="18"/>
      <c r="T68" s="18"/>
      <c r="U68" s="18"/>
      <c r="V68" s="18"/>
      <c r="W68" s="18"/>
      <c r="X68" s="11"/>
      <c r="Y68" s="11"/>
    </row>
    <row r="69" spans="1:25" ht="15.75" x14ac:dyDescent="0.25">
      <c r="A69" s="310"/>
      <c r="B69" s="11"/>
      <c r="C69" s="243" t="s">
        <v>622</v>
      </c>
      <c r="D69" s="11"/>
      <c r="E69" s="11"/>
      <c r="F69" s="789"/>
      <c r="G69" s="11"/>
      <c r="H69" s="579">
        <f>H67-H68</f>
        <v>0</v>
      </c>
      <c r="I69" s="579">
        <f t="shared" ref="I69:Q69" si="39">I67-I68</f>
        <v>0</v>
      </c>
      <c r="J69" s="579">
        <f t="shared" si="39"/>
        <v>0</v>
      </c>
      <c r="K69" s="579">
        <f t="shared" si="39"/>
        <v>0</v>
      </c>
      <c r="L69" s="579">
        <f t="shared" si="39"/>
        <v>0</v>
      </c>
      <c r="M69" s="579">
        <f t="shared" si="39"/>
        <v>0</v>
      </c>
      <c r="N69" s="579">
        <f t="shared" si="39"/>
        <v>0</v>
      </c>
      <c r="O69" s="579">
        <f t="shared" si="39"/>
        <v>0</v>
      </c>
      <c r="P69" s="579">
        <f t="shared" si="39"/>
        <v>0</v>
      </c>
      <c r="Q69" s="595">
        <f t="shared" si="39"/>
        <v>0</v>
      </c>
      <c r="R69" s="18"/>
      <c r="S69" s="18"/>
      <c r="T69" s="18"/>
      <c r="U69" s="18"/>
      <c r="V69" s="18"/>
      <c r="W69" s="18"/>
      <c r="X69" s="11"/>
      <c r="Y69" s="11"/>
    </row>
    <row r="70" spans="1:25" ht="15.75" x14ac:dyDescent="0.25">
      <c r="A70" s="310"/>
      <c r="B70" s="11"/>
      <c r="C70" s="244" t="s">
        <v>623</v>
      </c>
      <c r="D70" s="11"/>
      <c r="E70" s="11"/>
      <c r="F70" s="789"/>
      <c r="G70" s="11"/>
      <c r="H70" s="579">
        <f>'Lee &amp; Lor'!H9</f>
        <v>65.740559776197898</v>
      </c>
      <c r="I70" s="579">
        <f>'Lee &amp; Lor'!I9</f>
        <v>360.87742152479018</v>
      </c>
      <c r="J70" s="579">
        <f>'Lee &amp; Lor'!J9</f>
        <v>625.18058624953403</v>
      </c>
      <c r="K70" s="579">
        <f>'Lee &amp; Lor'!K9</f>
        <v>1075.1903265738922</v>
      </c>
      <c r="L70" s="579">
        <f>'Lee &amp; Lor'!L9</f>
        <v>1384.787154761369</v>
      </c>
      <c r="M70" s="579">
        <f>'Lee &amp; Lor'!M9</f>
        <v>1675.6141037805298</v>
      </c>
      <c r="N70" s="579">
        <f>'Lee &amp; Lor'!N9</f>
        <v>1996.7768909288015</v>
      </c>
      <c r="O70" s="579">
        <f>'Lee &amp; Lor'!O9</f>
        <v>2256.48847055437</v>
      </c>
      <c r="P70" s="579">
        <f>'Lee &amp; Lor'!P9</f>
        <v>2534.7476076209978</v>
      </c>
      <c r="Q70" s="595">
        <f>'Lee &amp; Lor'!Q9</f>
        <v>2723.4473226292475</v>
      </c>
      <c r="R70" s="18"/>
      <c r="S70" s="18"/>
      <c r="T70" s="18"/>
      <c r="U70" s="18"/>
      <c r="V70" s="18"/>
      <c r="W70" s="18"/>
      <c r="X70" s="11"/>
      <c r="Y70" s="11"/>
    </row>
    <row r="71" spans="1:25" ht="15.75" x14ac:dyDescent="0.25">
      <c r="A71" s="310"/>
      <c r="B71" s="11"/>
      <c r="C71" s="244" t="s">
        <v>624</v>
      </c>
      <c r="D71" s="11"/>
      <c r="E71" s="11"/>
      <c r="F71" s="789"/>
      <c r="G71" s="11"/>
      <c r="H71" s="586">
        <f>Sales!J82</f>
        <v>65.740559776197912</v>
      </c>
      <c r="I71" s="586">
        <f>Sales!K82</f>
        <v>360.87742152479018</v>
      </c>
      <c r="J71" s="586">
        <f>Sales!L82</f>
        <v>625.18058624953403</v>
      </c>
      <c r="K71" s="586">
        <f>Sales!M82</f>
        <v>1075.1903265738922</v>
      </c>
      <c r="L71" s="586">
        <f>Sales!N82</f>
        <v>1384.7871547613693</v>
      </c>
      <c r="M71" s="586">
        <f>Sales!O82</f>
        <v>1675.6141037805298</v>
      </c>
      <c r="N71" s="586">
        <f>Sales!P82</f>
        <v>1996.7768909288015</v>
      </c>
      <c r="O71" s="586">
        <f>Sales!Q82</f>
        <v>2256.4884705543695</v>
      </c>
      <c r="P71" s="586">
        <f>Sales!R82</f>
        <v>2534.7476076209982</v>
      </c>
      <c r="Q71" s="585">
        <f>Sales!S82</f>
        <v>2723.4473226292475</v>
      </c>
      <c r="R71" s="18"/>
      <c r="S71" s="18"/>
      <c r="T71" s="18"/>
      <c r="U71" s="18"/>
      <c r="V71" s="18"/>
      <c r="W71" s="18"/>
      <c r="X71" s="11"/>
      <c r="Y71" s="11"/>
    </row>
    <row r="72" spans="1:25" ht="15.75" x14ac:dyDescent="0.25">
      <c r="A72" s="310"/>
      <c r="B72" s="11"/>
      <c r="C72" s="244" t="s">
        <v>625</v>
      </c>
      <c r="D72" s="11"/>
      <c r="E72" s="243"/>
      <c r="F72" s="789"/>
      <c r="G72" s="11"/>
      <c r="H72" s="579">
        <f>H70-H71</f>
        <v>0</v>
      </c>
      <c r="I72" s="579">
        <f t="shared" ref="I72" si="40">I70-I71</f>
        <v>0</v>
      </c>
      <c r="J72" s="579">
        <f t="shared" ref="J72" si="41">J70-J71</f>
        <v>0</v>
      </c>
      <c r="K72" s="579">
        <f t="shared" ref="K72" si="42">K70-K71</f>
        <v>0</v>
      </c>
      <c r="L72" s="579">
        <f t="shared" ref="L72" si="43">L70-L71</f>
        <v>0</v>
      </c>
      <c r="M72" s="579">
        <f t="shared" ref="M72" si="44">M70-M71</f>
        <v>0</v>
      </c>
      <c r="N72" s="579">
        <f t="shared" ref="N72" si="45">N70-N71</f>
        <v>0</v>
      </c>
      <c r="O72" s="579">
        <f t="shared" ref="O72" si="46">O70-O71</f>
        <v>0</v>
      </c>
      <c r="P72" s="579">
        <f t="shared" ref="P72" si="47">P70-P71</f>
        <v>0</v>
      </c>
      <c r="Q72" s="595">
        <f t="shared" ref="Q72" si="48">Q70-Q71</f>
        <v>0</v>
      </c>
      <c r="R72" s="18"/>
      <c r="S72" s="18"/>
      <c r="T72" s="18"/>
      <c r="U72" s="18"/>
      <c r="V72" s="18"/>
      <c r="W72" s="18"/>
      <c r="X72" s="11"/>
      <c r="Y72" s="11"/>
    </row>
    <row r="73" spans="1:25" ht="15.75" x14ac:dyDescent="0.25">
      <c r="A73" s="310"/>
      <c r="B73" s="11"/>
      <c r="C73" s="244" t="s">
        <v>626</v>
      </c>
      <c r="D73" s="692">
        <f>Control!I16</f>
        <v>0.5</v>
      </c>
      <c r="E73" s="243"/>
      <c r="F73" s="789"/>
      <c r="G73" s="11"/>
      <c r="H73" s="586">
        <f>$D$73*H72</f>
        <v>0</v>
      </c>
      <c r="I73" s="586">
        <f t="shared" ref="I73:Q73" si="49">$D$73*I72</f>
        <v>0</v>
      </c>
      <c r="J73" s="586">
        <f t="shared" si="49"/>
        <v>0</v>
      </c>
      <c r="K73" s="586">
        <f t="shared" si="49"/>
        <v>0</v>
      </c>
      <c r="L73" s="586">
        <f t="shared" si="49"/>
        <v>0</v>
      </c>
      <c r="M73" s="586">
        <f t="shared" si="49"/>
        <v>0</v>
      </c>
      <c r="N73" s="586">
        <f t="shared" si="49"/>
        <v>0</v>
      </c>
      <c r="O73" s="586">
        <f t="shared" si="49"/>
        <v>0</v>
      </c>
      <c r="P73" s="586">
        <f t="shared" si="49"/>
        <v>0</v>
      </c>
      <c r="Q73" s="585">
        <f t="shared" si="49"/>
        <v>0</v>
      </c>
      <c r="R73" s="18"/>
      <c r="S73" s="18"/>
      <c r="T73" s="18"/>
      <c r="U73" s="18"/>
      <c r="V73" s="18"/>
      <c r="W73" s="18"/>
      <c r="X73" s="11"/>
      <c r="Y73" s="11"/>
    </row>
    <row r="74" spans="1:25" ht="15.75" x14ac:dyDescent="0.25">
      <c r="A74" s="310"/>
      <c r="B74" s="11"/>
      <c r="C74" s="6" t="s">
        <v>627</v>
      </c>
      <c r="D74" s="11"/>
      <c r="E74" s="243"/>
      <c r="F74" s="789"/>
      <c r="G74" s="11"/>
      <c r="H74" s="579">
        <f>H72-H73</f>
        <v>0</v>
      </c>
      <c r="I74" s="579">
        <f t="shared" ref="I74:Q74" si="50">I72-I73</f>
        <v>0</v>
      </c>
      <c r="J74" s="579">
        <f t="shared" si="50"/>
        <v>0</v>
      </c>
      <c r="K74" s="579">
        <f t="shared" si="50"/>
        <v>0</v>
      </c>
      <c r="L74" s="579">
        <f t="shared" si="50"/>
        <v>0</v>
      </c>
      <c r="M74" s="579">
        <f t="shared" si="50"/>
        <v>0</v>
      </c>
      <c r="N74" s="579">
        <f t="shared" si="50"/>
        <v>0</v>
      </c>
      <c r="O74" s="579">
        <f t="shared" si="50"/>
        <v>0</v>
      </c>
      <c r="P74" s="579">
        <f t="shared" si="50"/>
        <v>0</v>
      </c>
      <c r="Q74" s="595">
        <f t="shared" si="50"/>
        <v>0</v>
      </c>
      <c r="R74" s="18"/>
      <c r="S74" s="18"/>
      <c r="T74" s="18"/>
      <c r="U74" s="18"/>
      <c r="V74" s="18"/>
      <c r="W74" s="18"/>
      <c r="X74" s="11"/>
      <c r="Y74" s="11"/>
    </row>
    <row r="75" spans="1:25" ht="15.75" x14ac:dyDescent="0.25">
      <c r="A75" s="310"/>
      <c r="B75" s="11"/>
      <c r="C75" s="244"/>
      <c r="D75" s="11"/>
      <c r="E75" s="243"/>
      <c r="F75" s="789"/>
      <c r="G75" s="11"/>
      <c r="H75" s="579"/>
      <c r="I75" s="579"/>
      <c r="J75" s="579"/>
      <c r="K75" s="579"/>
      <c r="L75" s="579"/>
      <c r="M75" s="579"/>
      <c r="N75" s="579"/>
      <c r="O75" s="579"/>
      <c r="P75" s="579"/>
      <c r="Q75" s="595"/>
      <c r="R75" s="18"/>
      <c r="S75" s="18"/>
      <c r="T75" s="18"/>
      <c r="U75" s="18"/>
      <c r="V75" s="18"/>
      <c r="W75" s="18"/>
      <c r="X75" s="11"/>
      <c r="Y75" s="11"/>
    </row>
    <row r="76" spans="1:25" ht="15.75" x14ac:dyDescent="0.25">
      <c r="A76" s="310"/>
      <c r="B76" s="11"/>
      <c r="C76" s="244" t="s">
        <v>618</v>
      </c>
      <c r="D76" s="243" t="s">
        <v>616</v>
      </c>
      <c r="E76" s="854">
        <f>IF($D$73&gt;0,100,0)</f>
        <v>100</v>
      </c>
      <c r="F76" s="820" t="s">
        <v>617</v>
      </c>
      <c r="G76" s="386">
        <f>D9</f>
        <v>600</v>
      </c>
      <c r="H76" s="386">
        <f>$E$76*$G$76/1000*H51</f>
        <v>30</v>
      </c>
      <c r="I76" s="386">
        <f t="shared" ref="I76:Q76" si="51">$E$76*$G$76/1000*I51</f>
        <v>78</v>
      </c>
      <c r="J76" s="386">
        <f t="shared" si="51"/>
        <v>129</v>
      </c>
      <c r="K76" s="386">
        <f t="shared" si="51"/>
        <v>144</v>
      </c>
      <c r="L76" s="386">
        <f t="shared" si="51"/>
        <v>144</v>
      </c>
      <c r="M76" s="386">
        <f t="shared" si="51"/>
        <v>144</v>
      </c>
      <c r="N76" s="386">
        <f t="shared" si="51"/>
        <v>144</v>
      </c>
      <c r="O76" s="386">
        <f t="shared" si="51"/>
        <v>144</v>
      </c>
      <c r="P76" s="386">
        <f t="shared" si="51"/>
        <v>144</v>
      </c>
      <c r="Q76" s="849">
        <f t="shared" si="51"/>
        <v>144</v>
      </c>
      <c r="R76" s="18"/>
      <c r="S76" s="18"/>
      <c r="T76" s="18"/>
      <c r="U76" s="18"/>
      <c r="V76" s="18"/>
      <c r="W76" s="18"/>
      <c r="X76" s="11"/>
      <c r="Y76" s="11"/>
    </row>
    <row r="77" spans="1:25" ht="15.75" x14ac:dyDescent="0.25">
      <c r="A77" s="310"/>
      <c r="B77" s="11"/>
      <c r="C77" s="244" t="s">
        <v>629</v>
      </c>
      <c r="D77" s="244" t="s">
        <v>615</v>
      </c>
      <c r="E77" s="822">
        <f>Control!I17</f>
        <v>500</v>
      </c>
      <c r="F77" s="789"/>
      <c r="G77" s="11"/>
      <c r="H77" s="586">
        <f>H76*$E$77/1000</f>
        <v>15</v>
      </c>
      <c r="I77" s="586">
        <f t="shared" ref="I77:Q77" si="52">I76*$E$77/1000</f>
        <v>39</v>
      </c>
      <c r="J77" s="586">
        <f t="shared" si="52"/>
        <v>64.5</v>
      </c>
      <c r="K77" s="586">
        <f t="shared" si="52"/>
        <v>72</v>
      </c>
      <c r="L77" s="586">
        <f t="shared" si="52"/>
        <v>72</v>
      </c>
      <c r="M77" s="586">
        <f t="shared" si="52"/>
        <v>72</v>
      </c>
      <c r="N77" s="586">
        <f t="shared" si="52"/>
        <v>72</v>
      </c>
      <c r="O77" s="586">
        <f t="shared" si="52"/>
        <v>72</v>
      </c>
      <c r="P77" s="586">
        <f t="shared" si="52"/>
        <v>72</v>
      </c>
      <c r="Q77" s="585">
        <f t="shared" si="52"/>
        <v>72</v>
      </c>
      <c r="R77" s="18"/>
      <c r="S77" s="18"/>
      <c r="T77" s="18"/>
      <c r="U77" s="18"/>
      <c r="V77" s="18"/>
      <c r="W77" s="18"/>
      <c r="X77" s="11"/>
      <c r="Y77" s="11"/>
    </row>
    <row r="78" spans="1:25" ht="15.75" x14ac:dyDescent="0.25">
      <c r="A78" s="310"/>
      <c r="B78" s="11"/>
      <c r="C78" s="244" t="s">
        <v>628</v>
      </c>
      <c r="D78" s="11"/>
      <c r="E78" s="728">
        <f>Control!G45</f>
        <v>0.12</v>
      </c>
      <c r="F78" s="821" t="s">
        <v>278</v>
      </c>
      <c r="G78" s="386">
        <f>NPV(E78,H78:Q78)</f>
        <v>-324.27745108494071</v>
      </c>
      <c r="H78" s="579">
        <f>H74-H77</f>
        <v>-15</v>
      </c>
      <c r="I78" s="579">
        <f t="shared" ref="I78:Q78" si="53">I74-I77</f>
        <v>-39</v>
      </c>
      <c r="J78" s="579">
        <f t="shared" si="53"/>
        <v>-64.5</v>
      </c>
      <c r="K78" s="579">
        <f t="shared" si="53"/>
        <v>-72</v>
      </c>
      <c r="L78" s="579">
        <f t="shared" si="53"/>
        <v>-72</v>
      </c>
      <c r="M78" s="579">
        <f t="shared" si="53"/>
        <v>-72</v>
      </c>
      <c r="N78" s="579">
        <f t="shared" si="53"/>
        <v>-72</v>
      </c>
      <c r="O78" s="579">
        <f t="shared" si="53"/>
        <v>-72</v>
      </c>
      <c r="P78" s="579">
        <f t="shared" si="53"/>
        <v>-72</v>
      </c>
      <c r="Q78" s="595">
        <f t="shared" si="53"/>
        <v>-72</v>
      </c>
      <c r="S78" s="18"/>
      <c r="T78" s="18"/>
      <c r="U78" s="18"/>
      <c r="V78" s="18"/>
      <c r="W78" s="18"/>
      <c r="X78" s="11"/>
      <c r="Y78" s="11"/>
    </row>
    <row r="79" spans="1:25" ht="15.75" x14ac:dyDescent="0.25">
      <c r="A79" s="310"/>
      <c r="B79" s="11"/>
      <c r="C79" s="11"/>
      <c r="D79" s="11"/>
      <c r="E79" s="11"/>
      <c r="F79" s="789"/>
      <c r="G79" s="11"/>
      <c r="H79" s="11"/>
      <c r="I79" s="11"/>
      <c r="J79" s="11"/>
      <c r="K79" s="11"/>
      <c r="L79" s="11"/>
      <c r="M79" s="18"/>
      <c r="N79" s="11"/>
      <c r="O79" s="18"/>
      <c r="P79" s="18"/>
      <c r="Q79" s="841"/>
      <c r="S79" s="18"/>
      <c r="T79" s="18"/>
      <c r="U79" s="18"/>
      <c r="V79" s="18"/>
      <c r="W79" s="18"/>
      <c r="X79" s="11"/>
      <c r="Y79" s="11"/>
    </row>
    <row r="80" spans="1:25" ht="15.75" x14ac:dyDescent="0.25">
      <c r="A80" s="310"/>
      <c r="B80" s="11"/>
      <c r="C80" s="6" t="s">
        <v>34</v>
      </c>
      <c r="D80" s="11"/>
      <c r="E80" s="11"/>
      <c r="F80" s="789"/>
      <c r="G80" s="11"/>
      <c r="H80" s="11"/>
      <c r="I80" s="11"/>
      <c r="J80" s="11"/>
      <c r="K80" s="11"/>
      <c r="L80" s="11"/>
      <c r="M80" s="18"/>
      <c r="N80" s="11"/>
      <c r="O80" s="18"/>
      <c r="P80" s="18"/>
      <c r="Q80" s="841"/>
      <c r="S80" s="18"/>
      <c r="T80" s="18"/>
      <c r="U80" s="18"/>
      <c r="V80" s="18"/>
      <c r="W80" s="18"/>
      <c r="X80" s="11"/>
      <c r="Y80" s="11"/>
    </row>
    <row r="81" spans="1:25" ht="15.75" x14ac:dyDescent="0.25">
      <c r="A81" s="310"/>
      <c r="B81" s="11"/>
      <c r="C81" s="244" t="s">
        <v>620</v>
      </c>
      <c r="D81" s="243" t="s">
        <v>616</v>
      </c>
      <c r="E81" s="51">
        <f>E76</f>
        <v>100</v>
      </c>
      <c r="F81" s="450" t="s">
        <v>619</v>
      </c>
      <c r="G81" s="386">
        <f>D11</f>
        <v>200</v>
      </c>
      <c r="H81" s="386">
        <f>$E$81*$G$81/1000*H51</f>
        <v>10</v>
      </c>
      <c r="I81" s="386">
        <f t="shared" ref="I81:Q81" si="54">$E$81*$G$81/1000*I51</f>
        <v>26</v>
      </c>
      <c r="J81" s="386">
        <f t="shared" si="54"/>
        <v>43</v>
      </c>
      <c r="K81" s="386">
        <f t="shared" si="54"/>
        <v>48</v>
      </c>
      <c r="L81" s="386">
        <f t="shared" si="54"/>
        <v>48</v>
      </c>
      <c r="M81" s="386">
        <f t="shared" si="54"/>
        <v>48</v>
      </c>
      <c r="N81" s="386">
        <f t="shared" si="54"/>
        <v>48</v>
      </c>
      <c r="O81" s="386">
        <f t="shared" si="54"/>
        <v>48</v>
      </c>
      <c r="P81" s="386">
        <f t="shared" si="54"/>
        <v>48</v>
      </c>
      <c r="Q81" s="849">
        <f t="shared" si="54"/>
        <v>48</v>
      </c>
      <c r="S81" s="18"/>
      <c r="T81" s="18"/>
      <c r="U81" s="18"/>
      <c r="V81" s="18"/>
      <c r="W81" s="18"/>
      <c r="X81" s="11"/>
      <c r="Y81" s="11"/>
    </row>
    <row r="82" spans="1:25" x14ac:dyDescent="0.2">
      <c r="A82" s="284"/>
      <c r="B82" s="11"/>
      <c r="C82" s="244" t="s">
        <v>618</v>
      </c>
      <c r="D82" s="243" t="s">
        <v>616</v>
      </c>
      <c r="E82" s="854">
        <v>100</v>
      </c>
      <c r="F82" s="820" t="s">
        <v>617</v>
      </c>
      <c r="G82" s="386">
        <f>G76</f>
        <v>600</v>
      </c>
      <c r="H82" s="386">
        <f>H76</f>
        <v>30</v>
      </c>
      <c r="I82" s="386">
        <f t="shared" ref="I82:Q82" si="55">I76</f>
        <v>78</v>
      </c>
      <c r="J82" s="386">
        <f t="shared" si="55"/>
        <v>129</v>
      </c>
      <c r="K82" s="386">
        <f t="shared" si="55"/>
        <v>144</v>
      </c>
      <c r="L82" s="386">
        <f t="shared" si="55"/>
        <v>144</v>
      </c>
      <c r="M82" s="386">
        <f t="shared" si="55"/>
        <v>144</v>
      </c>
      <c r="N82" s="386">
        <f t="shared" si="55"/>
        <v>144</v>
      </c>
      <c r="O82" s="386">
        <f t="shared" si="55"/>
        <v>144</v>
      </c>
      <c r="P82" s="386">
        <f t="shared" si="55"/>
        <v>144</v>
      </c>
      <c r="Q82" s="849">
        <f t="shared" si="55"/>
        <v>144</v>
      </c>
      <c r="S82" s="12"/>
      <c r="T82" s="18"/>
      <c r="U82" s="18"/>
      <c r="V82" s="18"/>
      <c r="W82" s="18"/>
      <c r="X82" s="11"/>
      <c r="Y82" s="11"/>
    </row>
    <row r="83" spans="1:25" x14ac:dyDescent="0.2">
      <c r="A83" s="284"/>
      <c r="B83" s="11"/>
      <c r="C83" s="244" t="s">
        <v>615</v>
      </c>
      <c r="D83" s="11"/>
      <c r="E83" s="11"/>
      <c r="F83" s="11"/>
      <c r="G83" s="11"/>
      <c r="H83" s="386">
        <f>H81*1000/H82</f>
        <v>333.33333333333331</v>
      </c>
      <c r="I83" s="386">
        <f t="shared" ref="I83:Q83" si="56">I81*1000/I82</f>
        <v>333.33333333333331</v>
      </c>
      <c r="J83" s="386">
        <f t="shared" si="56"/>
        <v>333.33333333333331</v>
      </c>
      <c r="K83" s="386">
        <f t="shared" si="56"/>
        <v>333.33333333333331</v>
      </c>
      <c r="L83" s="386">
        <f t="shared" si="56"/>
        <v>333.33333333333331</v>
      </c>
      <c r="M83" s="386">
        <f t="shared" si="56"/>
        <v>333.33333333333331</v>
      </c>
      <c r="N83" s="386">
        <f t="shared" si="56"/>
        <v>333.33333333333331</v>
      </c>
      <c r="O83" s="386">
        <f t="shared" si="56"/>
        <v>333.33333333333331</v>
      </c>
      <c r="P83" s="386">
        <f t="shared" si="56"/>
        <v>333.33333333333331</v>
      </c>
      <c r="Q83" s="849">
        <f t="shared" si="56"/>
        <v>333.33333333333331</v>
      </c>
      <c r="S83" s="12"/>
      <c r="T83" s="18"/>
      <c r="U83" s="18"/>
      <c r="V83" s="18"/>
      <c r="W83" s="18"/>
      <c r="X83" s="11"/>
      <c r="Y83" s="11"/>
    </row>
    <row r="84" spans="1:25" x14ac:dyDescent="0.2">
      <c r="A84" s="284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289"/>
      <c r="S84" s="12"/>
      <c r="T84" s="18"/>
      <c r="U84" s="18"/>
      <c r="V84" s="18"/>
      <c r="W84" s="18"/>
      <c r="X84" s="11"/>
      <c r="Y84" s="11"/>
    </row>
    <row r="85" spans="1:25" x14ac:dyDescent="0.2">
      <c r="A85" s="284"/>
      <c r="B85" s="11"/>
      <c r="C85" s="243" t="s">
        <v>633</v>
      </c>
      <c r="D85" s="11"/>
      <c r="E85" s="11"/>
      <c r="F85" s="11"/>
      <c r="G85" s="11"/>
      <c r="H85" s="579">
        <f>H77</f>
        <v>15</v>
      </c>
      <c r="I85" s="579">
        <f t="shared" ref="I85:Q85" si="57">I77</f>
        <v>39</v>
      </c>
      <c r="J85" s="579">
        <f t="shared" si="57"/>
        <v>64.5</v>
      </c>
      <c r="K85" s="579">
        <f t="shared" si="57"/>
        <v>72</v>
      </c>
      <c r="L85" s="579">
        <f t="shared" si="57"/>
        <v>72</v>
      </c>
      <c r="M85" s="579">
        <f t="shared" si="57"/>
        <v>72</v>
      </c>
      <c r="N85" s="579">
        <f t="shared" si="57"/>
        <v>72</v>
      </c>
      <c r="O85" s="579">
        <f t="shared" si="57"/>
        <v>72</v>
      </c>
      <c r="P85" s="579">
        <f t="shared" si="57"/>
        <v>72</v>
      </c>
      <c r="Q85" s="595">
        <f t="shared" si="57"/>
        <v>72</v>
      </c>
      <c r="S85" s="367"/>
      <c r="T85" s="18"/>
      <c r="U85" s="18"/>
      <c r="V85" s="18"/>
      <c r="W85" s="18"/>
      <c r="X85" s="11"/>
      <c r="Y85" s="11"/>
    </row>
    <row r="86" spans="1:25" x14ac:dyDescent="0.2">
      <c r="A86" s="284"/>
      <c r="B86" s="11"/>
      <c r="C86" s="243" t="s">
        <v>631</v>
      </c>
      <c r="D86" s="11"/>
      <c r="E86" s="11"/>
      <c r="F86" s="11"/>
      <c r="G86" s="11"/>
      <c r="H86" s="579">
        <f>H85-H81</f>
        <v>5</v>
      </c>
      <c r="I86" s="579">
        <f t="shared" ref="I86:Q86" si="58">I85-I81</f>
        <v>13</v>
      </c>
      <c r="J86" s="579">
        <f t="shared" si="58"/>
        <v>21.5</v>
      </c>
      <c r="K86" s="579">
        <f t="shared" si="58"/>
        <v>24</v>
      </c>
      <c r="L86" s="579">
        <f t="shared" si="58"/>
        <v>24</v>
      </c>
      <c r="M86" s="579">
        <f t="shared" si="58"/>
        <v>24</v>
      </c>
      <c r="N86" s="579">
        <f t="shared" si="58"/>
        <v>24</v>
      </c>
      <c r="O86" s="579">
        <f t="shared" si="58"/>
        <v>24</v>
      </c>
      <c r="P86" s="579">
        <f t="shared" si="58"/>
        <v>24</v>
      </c>
      <c r="Q86" s="595">
        <f t="shared" si="58"/>
        <v>24</v>
      </c>
      <c r="S86" s="12"/>
      <c r="T86" s="18"/>
      <c r="U86" s="18"/>
      <c r="V86" s="18"/>
      <c r="W86" s="18"/>
      <c r="X86" s="11"/>
      <c r="Y86" s="11"/>
    </row>
    <row r="87" spans="1:25" x14ac:dyDescent="0.2">
      <c r="A87" s="284"/>
      <c r="B87" s="11"/>
      <c r="C87" s="243" t="s">
        <v>630</v>
      </c>
      <c r="D87" s="11"/>
      <c r="E87" s="11"/>
      <c r="F87" s="11"/>
      <c r="G87" s="11"/>
      <c r="H87" s="586">
        <f>H73</f>
        <v>0</v>
      </c>
      <c r="I87" s="586">
        <f t="shared" ref="I87:Q87" si="59">I73</f>
        <v>0</v>
      </c>
      <c r="J87" s="586">
        <f t="shared" si="59"/>
        <v>0</v>
      </c>
      <c r="K87" s="586">
        <f t="shared" si="59"/>
        <v>0</v>
      </c>
      <c r="L87" s="586">
        <f t="shared" si="59"/>
        <v>0</v>
      </c>
      <c r="M87" s="586">
        <f t="shared" si="59"/>
        <v>0</v>
      </c>
      <c r="N87" s="586">
        <f t="shared" si="59"/>
        <v>0</v>
      </c>
      <c r="O87" s="586">
        <f t="shared" si="59"/>
        <v>0</v>
      </c>
      <c r="P87" s="586">
        <f t="shared" si="59"/>
        <v>0</v>
      </c>
      <c r="Q87" s="585">
        <f t="shared" si="59"/>
        <v>0</v>
      </c>
      <c r="S87" s="12"/>
      <c r="T87" s="18"/>
      <c r="U87" s="18"/>
      <c r="V87" s="18"/>
      <c r="W87" s="18"/>
      <c r="X87" s="11"/>
      <c r="Y87" s="11"/>
    </row>
    <row r="88" spans="1:25" x14ac:dyDescent="0.2">
      <c r="A88" s="284"/>
      <c r="B88" s="11"/>
      <c r="C88" s="6" t="s">
        <v>632</v>
      </c>
      <c r="D88" s="11"/>
      <c r="E88" s="728">
        <f>E78</f>
        <v>0.12</v>
      </c>
      <c r="F88" s="821" t="s">
        <v>278</v>
      </c>
      <c r="G88" s="386">
        <f>NPV(E88,H88:Q88)</f>
        <v>432.36993477992092</v>
      </c>
      <c r="H88" s="579">
        <f>SUM(H85:H87)</f>
        <v>20</v>
      </c>
      <c r="I88" s="579">
        <f t="shared" ref="I88:Q88" si="60">SUM(I85:I87)</f>
        <v>52</v>
      </c>
      <c r="J88" s="579">
        <f t="shared" si="60"/>
        <v>86</v>
      </c>
      <c r="K88" s="579">
        <f t="shared" si="60"/>
        <v>96</v>
      </c>
      <c r="L88" s="579">
        <f t="shared" si="60"/>
        <v>96</v>
      </c>
      <c r="M88" s="579">
        <f t="shared" si="60"/>
        <v>96</v>
      </c>
      <c r="N88" s="579">
        <f t="shared" si="60"/>
        <v>96</v>
      </c>
      <c r="O88" s="579">
        <f t="shared" si="60"/>
        <v>96</v>
      </c>
      <c r="P88" s="579">
        <f t="shared" si="60"/>
        <v>96</v>
      </c>
      <c r="Q88" s="595">
        <f t="shared" si="60"/>
        <v>96</v>
      </c>
      <c r="S88" s="32"/>
      <c r="T88" s="18"/>
      <c r="U88" s="18"/>
      <c r="V88" s="18"/>
      <c r="W88" s="18"/>
      <c r="X88" s="11"/>
      <c r="Y88" s="11"/>
    </row>
    <row r="89" spans="1:25" x14ac:dyDescent="0.2">
      <c r="A89" s="290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95"/>
      <c r="S89" s="32"/>
      <c r="T89" s="18"/>
      <c r="U89" s="18"/>
      <c r="V89" s="18"/>
      <c r="W89" s="18"/>
      <c r="X89" s="11"/>
      <c r="Y89" s="11"/>
    </row>
    <row r="90" spans="1:25" x14ac:dyDescent="0.2">
      <c r="S90" s="30"/>
      <c r="T90" s="18"/>
      <c r="U90" s="18"/>
      <c r="V90" s="18"/>
      <c r="W90" s="18"/>
      <c r="X90" s="11"/>
      <c r="Y90" s="11"/>
    </row>
    <row r="91" spans="1:25" x14ac:dyDescent="0.2">
      <c r="A91" s="906"/>
      <c r="B91" s="906"/>
      <c r="C91" s="906" t="s">
        <v>620</v>
      </c>
      <c r="D91" s="978" t="s">
        <v>616</v>
      </c>
      <c r="E91" s="979">
        <v>100</v>
      </c>
      <c r="F91" s="906" t="s">
        <v>619</v>
      </c>
      <c r="G91" s="979">
        <v>200</v>
      </c>
      <c r="H91" s="980">
        <f>$E$91*$G$91*H51/1000</f>
        <v>10</v>
      </c>
      <c r="I91" s="980">
        <f t="shared" ref="I91:Q91" si="61">$E$91*$G$91*I51/1000</f>
        <v>26</v>
      </c>
      <c r="J91" s="980">
        <f t="shared" si="61"/>
        <v>43</v>
      </c>
      <c r="K91" s="980">
        <f t="shared" si="61"/>
        <v>48</v>
      </c>
      <c r="L91" s="980">
        <f t="shared" si="61"/>
        <v>48</v>
      </c>
      <c r="M91" s="980">
        <f t="shared" si="61"/>
        <v>48</v>
      </c>
      <c r="N91" s="980">
        <f t="shared" si="61"/>
        <v>48</v>
      </c>
      <c r="O91" s="980">
        <f t="shared" si="61"/>
        <v>48</v>
      </c>
      <c r="P91" s="980">
        <f t="shared" si="61"/>
        <v>48</v>
      </c>
      <c r="Q91" s="980">
        <f t="shared" si="61"/>
        <v>48</v>
      </c>
      <c r="S91" s="12"/>
      <c r="T91" s="18"/>
      <c r="U91" s="18"/>
      <c r="V91" s="18"/>
      <c r="W91" s="18"/>
      <c r="X91" s="11"/>
      <c r="Y91" s="11"/>
    </row>
    <row r="92" spans="1:25" x14ac:dyDescent="0.2">
      <c r="A92" s="906"/>
      <c r="B92" s="906"/>
      <c r="C92" s="906"/>
      <c r="D92" s="978"/>
      <c r="E92" s="981"/>
      <c r="F92" s="906"/>
      <c r="G92" s="906"/>
      <c r="H92" s="978"/>
      <c r="I92" s="978"/>
      <c r="J92" s="978"/>
      <c r="K92" s="978"/>
      <c r="L92" s="978"/>
      <c r="M92" s="978"/>
      <c r="N92" s="978"/>
      <c r="O92" s="978"/>
      <c r="P92" s="978"/>
      <c r="Q92" s="978"/>
      <c r="S92" s="12"/>
      <c r="T92" s="18"/>
      <c r="U92" s="18"/>
      <c r="V92" s="18"/>
      <c r="W92" s="18"/>
      <c r="X92" s="11"/>
      <c r="Y92" s="11"/>
    </row>
    <row r="93" spans="1:25" x14ac:dyDescent="0.2">
      <c r="A93" s="906"/>
      <c r="B93" s="906"/>
      <c r="C93" s="906"/>
      <c r="D93" s="978"/>
      <c r="E93" s="981"/>
      <c r="F93" s="906"/>
      <c r="G93" s="906"/>
      <c r="H93" s="978"/>
      <c r="I93" s="978"/>
      <c r="J93" s="978"/>
      <c r="K93" s="978"/>
      <c r="L93" s="978"/>
      <c r="M93" s="978"/>
      <c r="N93" s="978"/>
      <c r="O93" s="978"/>
      <c r="P93" s="978"/>
      <c r="Q93" s="978"/>
      <c r="S93" s="12"/>
      <c r="T93" s="18"/>
      <c r="U93" s="18"/>
      <c r="V93" s="18"/>
      <c r="W93" s="18"/>
      <c r="X93" s="11"/>
      <c r="Y93" s="11"/>
    </row>
    <row r="94" spans="1:25" x14ac:dyDescent="0.2">
      <c r="A94" s="906"/>
      <c r="B94" s="906"/>
      <c r="C94" s="906" t="s">
        <v>295</v>
      </c>
      <c r="D94" s="978"/>
      <c r="E94" s="981"/>
      <c r="F94" s="906"/>
      <c r="G94" s="906"/>
      <c r="H94" s="982">
        <v>44.454000000000001</v>
      </c>
      <c r="I94" s="982">
        <v>120.553</v>
      </c>
      <c r="J94" s="982">
        <v>161.86500000000001</v>
      </c>
      <c r="K94" s="982">
        <v>187.50399999999999</v>
      </c>
      <c r="L94" s="982">
        <v>187.50399999999999</v>
      </c>
      <c r="M94" s="979">
        <v>187.50399999999999</v>
      </c>
      <c r="N94" s="966">
        <v>187.50399999999999</v>
      </c>
      <c r="O94" s="966">
        <v>187.50399999999999</v>
      </c>
      <c r="P94" s="966">
        <v>187.50399999999999</v>
      </c>
      <c r="Q94" s="966">
        <v>187.50399999999999</v>
      </c>
      <c r="S94" s="32"/>
      <c r="T94" s="18"/>
      <c r="U94" s="18"/>
      <c r="V94" s="18"/>
      <c r="W94" s="18"/>
      <c r="X94" s="11"/>
      <c r="Y94" s="11"/>
    </row>
    <row r="95" spans="1:25" x14ac:dyDescent="0.2">
      <c r="A95" s="906"/>
      <c r="B95" s="906"/>
      <c r="C95" s="906" t="s">
        <v>295</v>
      </c>
      <c r="D95" s="978"/>
      <c r="E95" s="981"/>
      <c r="F95" s="906"/>
      <c r="G95" s="906"/>
      <c r="H95" s="983">
        <v>6.8559999999999999</v>
      </c>
      <c r="I95" s="983">
        <v>23.946000000000002</v>
      </c>
      <c r="J95" s="983">
        <v>72.2</v>
      </c>
      <c r="K95" s="983">
        <v>75</v>
      </c>
      <c r="L95" s="983">
        <v>75</v>
      </c>
      <c r="M95" s="984">
        <v>75</v>
      </c>
      <c r="N95" s="984">
        <v>75</v>
      </c>
      <c r="O95" s="984">
        <v>75</v>
      </c>
      <c r="P95" s="984">
        <v>75</v>
      </c>
      <c r="Q95" s="984">
        <v>75</v>
      </c>
      <c r="S95" s="52"/>
      <c r="T95" s="52"/>
      <c r="U95" s="52"/>
      <c r="V95" s="52"/>
      <c r="W95" s="52"/>
      <c r="X95" s="11"/>
      <c r="Y95" s="11"/>
    </row>
    <row r="96" spans="1:25" x14ac:dyDescent="0.2">
      <c r="A96" s="906"/>
      <c r="B96" s="906"/>
      <c r="C96" s="394" t="s">
        <v>597</v>
      </c>
      <c r="D96" s="978"/>
      <c r="E96" s="981"/>
      <c r="F96" s="906"/>
      <c r="G96" s="906"/>
      <c r="H96" s="982">
        <f t="shared" ref="H96:Q96" si="62">H94+H95</f>
        <v>51.31</v>
      </c>
      <c r="I96" s="982">
        <f t="shared" si="62"/>
        <v>144.499</v>
      </c>
      <c r="J96" s="982">
        <f t="shared" si="62"/>
        <v>234.065</v>
      </c>
      <c r="K96" s="982">
        <f t="shared" si="62"/>
        <v>262.50400000000002</v>
      </c>
      <c r="L96" s="982">
        <f t="shared" si="62"/>
        <v>262.50400000000002</v>
      </c>
      <c r="M96" s="982">
        <f t="shared" si="62"/>
        <v>262.50400000000002</v>
      </c>
      <c r="N96" s="982">
        <f t="shared" si="62"/>
        <v>262.50400000000002</v>
      </c>
      <c r="O96" s="982">
        <f t="shared" si="62"/>
        <v>262.50400000000002</v>
      </c>
      <c r="P96" s="982">
        <f t="shared" si="62"/>
        <v>262.50400000000002</v>
      </c>
      <c r="Q96" s="982">
        <f t="shared" si="62"/>
        <v>262.50400000000002</v>
      </c>
      <c r="S96" s="11"/>
      <c r="T96" s="11"/>
      <c r="U96" s="11"/>
      <c r="V96" s="11"/>
      <c r="W96" s="11"/>
      <c r="X96" s="11"/>
      <c r="Y96" s="11"/>
    </row>
    <row r="97" spans="1:25" x14ac:dyDescent="0.2">
      <c r="A97" s="906"/>
      <c r="B97" s="906"/>
      <c r="C97" s="394" t="s">
        <v>599</v>
      </c>
      <c r="D97" s="978"/>
      <c r="E97" s="981"/>
      <c r="F97" s="906"/>
      <c r="G97" s="906"/>
      <c r="H97" s="982">
        <f t="shared" ref="H97:Q97" si="63">H55-H96</f>
        <v>3.3566666666666691</v>
      </c>
      <c r="I97" s="982">
        <f t="shared" si="63"/>
        <v>-2.365666666666641</v>
      </c>
      <c r="J97" s="982">
        <f t="shared" si="63"/>
        <v>1.0016666666666936</v>
      </c>
      <c r="K97" s="982">
        <f t="shared" si="63"/>
        <v>-0.10399999999998499</v>
      </c>
      <c r="L97" s="982">
        <f t="shared" si="63"/>
        <v>-0.10399999999998499</v>
      </c>
      <c r="M97" s="982">
        <f t="shared" si="63"/>
        <v>-0.10399999999998499</v>
      </c>
      <c r="N97" s="982">
        <f t="shared" si="63"/>
        <v>-0.10399999999998499</v>
      </c>
      <c r="O97" s="982">
        <f t="shared" si="63"/>
        <v>-0.10399999999998499</v>
      </c>
      <c r="P97" s="982">
        <f t="shared" si="63"/>
        <v>-0.10399999999998499</v>
      </c>
      <c r="Q97" s="982">
        <f t="shared" si="63"/>
        <v>-0.10399999999998499</v>
      </c>
      <c r="S97" s="11"/>
      <c r="T97" s="11"/>
      <c r="U97" s="11"/>
      <c r="V97" s="11"/>
      <c r="W97" s="11"/>
      <c r="X97" s="11"/>
      <c r="Y97" s="11"/>
    </row>
    <row r="98" spans="1:25" x14ac:dyDescent="0.2">
      <c r="A98" s="906"/>
      <c r="B98" s="906"/>
      <c r="C98" s="394" t="s">
        <v>381</v>
      </c>
      <c r="D98" s="978"/>
      <c r="E98" s="981"/>
      <c r="F98" s="906"/>
      <c r="G98" s="906"/>
      <c r="H98" s="985"/>
      <c r="I98" s="986">
        <v>40.627675603958913</v>
      </c>
      <c r="J98" s="986">
        <v>141.50170602429719</v>
      </c>
      <c r="K98" s="986">
        <v>259.73208405718674</v>
      </c>
      <c r="L98" s="986">
        <v>260</v>
      </c>
      <c r="M98" s="986">
        <v>250</v>
      </c>
      <c r="N98" s="986">
        <v>250</v>
      </c>
      <c r="O98" s="986">
        <v>250</v>
      </c>
      <c r="P98" s="986">
        <v>250</v>
      </c>
      <c r="Q98" s="986">
        <v>250</v>
      </c>
      <c r="S98" s="11"/>
      <c r="T98" s="11"/>
      <c r="U98" s="11"/>
      <c r="V98" s="11"/>
      <c r="W98" s="11"/>
      <c r="X98" s="11"/>
      <c r="Y98" s="11"/>
    </row>
    <row r="99" spans="1:25" x14ac:dyDescent="0.2">
      <c r="A99" s="906"/>
      <c r="B99" s="906"/>
      <c r="C99" s="394" t="s">
        <v>575</v>
      </c>
      <c r="D99" s="906"/>
      <c r="E99" s="981"/>
      <c r="F99" s="906"/>
      <c r="G99" s="906"/>
      <c r="H99" s="987">
        <f>H96+H98</f>
        <v>51.31</v>
      </c>
      <c r="I99" s="987">
        <f t="shared" ref="I99:Q99" si="64">I96+I98</f>
        <v>185.12667560395892</v>
      </c>
      <c r="J99" s="987">
        <f t="shared" si="64"/>
        <v>375.56670602429722</v>
      </c>
      <c r="K99" s="987">
        <f t="shared" si="64"/>
        <v>522.23608405718676</v>
      </c>
      <c r="L99" s="987">
        <f t="shared" si="64"/>
        <v>522.50400000000002</v>
      </c>
      <c r="M99" s="987">
        <f t="shared" si="64"/>
        <v>512.50400000000002</v>
      </c>
      <c r="N99" s="987">
        <f t="shared" si="64"/>
        <v>512.50400000000002</v>
      </c>
      <c r="O99" s="987">
        <f t="shared" si="64"/>
        <v>512.50400000000002</v>
      </c>
      <c r="P99" s="987">
        <f t="shared" si="64"/>
        <v>512.50400000000002</v>
      </c>
      <c r="Q99" s="987">
        <f t="shared" si="64"/>
        <v>512.50400000000002</v>
      </c>
      <c r="S99" s="11"/>
      <c r="T99" s="11"/>
      <c r="U99" s="11"/>
      <c r="V99" s="11"/>
      <c r="W99" s="11"/>
      <c r="X99" s="11"/>
      <c r="Y99" s="11"/>
    </row>
    <row r="100" spans="1:25" x14ac:dyDescent="0.2">
      <c r="A100" s="906"/>
      <c r="B100" s="906"/>
      <c r="C100" s="394" t="s">
        <v>576</v>
      </c>
      <c r="D100" s="906"/>
      <c r="E100" s="981"/>
      <c r="F100" s="906"/>
      <c r="G100" s="906"/>
      <c r="H100" s="987">
        <f>H58</f>
        <v>64.666666666666671</v>
      </c>
      <c r="I100" s="987">
        <f t="shared" ref="I100:Q100" si="65">I46</f>
        <v>287.58333333333337</v>
      </c>
      <c r="J100" s="987">
        <f t="shared" si="65"/>
        <v>287.58333333333337</v>
      </c>
      <c r="K100" s="987">
        <f t="shared" si="65"/>
        <v>287.58333333333337</v>
      </c>
      <c r="L100" s="987">
        <f t="shared" si="65"/>
        <v>287.58333333333337</v>
      </c>
      <c r="M100" s="987">
        <f t="shared" si="65"/>
        <v>287.58333333333337</v>
      </c>
      <c r="N100" s="987">
        <f t="shared" si="65"/>
        <v>287.58333333333337</v>
      </c>
      <c r="O100" s="987">
        <f t="shared" si="65"/>
        <v>287.58333333333337</v>
      </c>
      <c r="P100" s="987">
        <f t="shared" si="65"/>
        <v>287.58333333333337</v>
      </c>
      <c r="Q100" s="987">
        <f t="shared" si="65"/>
        <v>287.58333333333337</v>
      </c>
      <c r="S100" s="11"/>
      <c r="T100" s="11"/>
      <c r="U100" s="11"/>
      <c r="V100" s="11"/>
      <c r="W100" s="11"/>
      <c r="X100" s="11"/>
      <c r="Y100" s="11"/>
    </row>
    <row r="101" spans="1:25" x14ac:dyDescent="0.2">
      <c r="A101" s="906"/>
      <c r="B101" s="906"/>
      <c r="C101" s="906"/>
      <c r="D101" s="906"/>
      <c r="E101" s="981"/>
      <c r="F101" s="906"/>
      <c r="G101" s="906"/>
      <c r="H101" s="987"/>
      <c r="I101" s="987"/>
      <c r="J101" s="987"/>
      <c r="K101" s="987"/>
      <c r="L101" s="987"/>
      <c r="M101" s="987"/>
      <c r="N101" s="987"/>
      <c r="O101" s="987"/>
      <c r="P101" s="987"/>
      <c r="Q101" s="987"/>
      <c r="S101" s="11"/>
      <c r="T101" s="11"/>
      <c r="U101" s="11"/>
      <c r="V101" s="11"/>
      <c r="W101" s="11"/>
      <c r="X101" s="11"/>
      <c r="Y101" s="11"/>
    </row>
    <row r="102" spans="1:25" x14ac:dyDescent="0.2">
      <c r="A102" s="11"/>
      <c r="B102" s="11"/>
      <c r="C102" s="11"/>
      <c r="D102" s="11"/>
      <c r="E102" s="239"/>
      <c r="F102" s="11"/>
      <c r="G102" s="11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1"/>
      <c r="S102" s="11"/>
      <c r="T102" s="11"/>
      <c r="U102" s="11"/>
      <c r="V102" s="11"/>
      <c r="W102" s="11"/>
      <c r="X102" s="11"/>
      <c r="Y102" s="11"/>
    </row>
    <row r="103" spans="1:25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8"/>
      <c r="Q103" s="8"/>
      <c r="R103" s="8"/>
      <c r="S103" s="11"/>
      <c r="T103" s="11"/>
      <c r="U103" s="11"/>
      <c r="V103" s="11"/>
      <c r="W103" s="11"/>
      <c r="X103" s="11"/>
      <c r="Y103" s="11"/>
    </row>
    <row r="104" spans="1:25" x14ac:dyDescent="0.2">
      <c r="B104" s="11"/>
      <c r="C104" s="11"/>
      <c r="P104" s="8"/>
      <c r="Q104" s="8"/>
      <c r="R104" s="8"/>
      <c r="S104" s="11"/>
      <c r="T104" s="11"/>
      <c r="U104" s="11"/>
      <c r="V104" s="11"/>
      <c r="W104" s="11"/>
      <c r="X104" s="11"/>
      <c r="Y104" s="11"/>
    </row>
    <row r="105" spans="1:25" x14ac:dyDescent="0.2">
      <c r="B105" s="11"/>
      <c r="C105" s="11"/>
      <c r="P105" s="8"/>
      <c r="Q105" s="8"/>
      <c r="R105" s="8"/>
      <c r="S105" s="11"/>
      <c r="T105" s="11"/>
      <c r="U105" s="11"/>
      <c r="V105" s="11"/>
      <c r="W105" s="11"/>
      <c r="X105" s="11"/>
      <c r="Y105" s="11"/>
    </row>
    <row r="106" spans="1:25" x14ac:dyDescent="0.2">
      <c r="B106" s="8"/>
      <c r="C106" s="8"/>
      <c r="H106" s="8"/>
      <c r="I106" s="8"/>
      <c r="J106" s="8"/>
      <c r="K106" s="8"/>
      <c r="L106" s="8"/>
      <c r="M106" s="8"/>
      <c r="N106" s="8"/>
      <c r="R106" s="11"/>
      <c r="S106" s="11"/>
      <c r="T106" s="11"/>
      <c r="U106" s="11"/>
      <c r="V106" s="11"/>
      <c r="W106" s="11"/>
      <c r="X106" s="11"/>
      <c r="Y106" s="11"/>
    </row>
    <row r="107" spans="1:25" x14ac:dyDescent="0.2">
      <c r="B107" s="8"/>
      <c r="C107" s="8"/>
      <c r="I107" s="8"/>
      <c r="J107" s="8"/>
      <c r="K107" s="8"/>
      <c r="L107" s="8"/>
      <c r="M107" s="8"/>
      <c r="N107" s="8"/>
      <c r="R107" s="11"/>
      <c r="S107" s="11"/>
      <c r="T107" s="11"/>
      <c r="U107" s="11"/>
      <c r="V107" s="11"/>
      <c r="W107" s="11"/>
      <c r="X107" s="11"/>
      <c r="Y107" s="11"/>
    </row>
    <row r="108" spans="1:25" x14ac:dyDescent="0.2">
      <c r="B108" s="8"/>
      <c r="C108" s="8"/>
      <c r="H108" s="8"/>
      <c r="I108" s="8"/>
      <c r="J108" s="8"/>
      <c r="K108" s="8"/>
      <c r="L108" s="8"/>
      <c r="M108" s="8"/>
      <c r="N108" s="8"/>
      <c r="R108" s="11"/>
      <c r="S108" s="11"/>
      <c r="T108" s="11"/>
      <c r="U108" s="11"/>
      <c r="V108" s="11"/>
      <c r="W108" s="11"/>
      <c r="X108" s="11"/>
      <c r="Y108" s="11"/>
    </row>
    <row r="109" spans="1:25" x14ac:dyDescent="0.2">
      <c r="B109" s="8"/>
      <c r="C109" s="6"/>
      <c r="H109" s="33"/>
      <c r="I109" s="33"/>
      <c r="J109" s="33"/>
      <c r="K109" s="33"/>
      <c r="L109" s="27"/>
      <c r="M109" s="34"/>
      <c r="N109" s="20"/>
      <c r="O109" s="2"/>
      <c r="P109" s="2"/>
      <c r="Q109" s="2"/>
      <c r="R109" s="14"/>
      <c r="S109" s="11"/>
      <c r="T109" s="11"/>
      <c r="U109" s="11"/>
      <c r="V109" s="11"/>
      <c r="W109" s="11"/>
      <c r="X109" s="11"/>
      <c r="Y109" s="11"/>
    </row>
    <row r="110" spans="1:25" x14ac:dyDescent="0.2">
      <c r="B110" s="8"/>
      <c r="C110" s="6"/>
      <c r="H110" s="27"/>
      <c r="I110" s="27"/>
      <c r="J110" s="27"/>
      <c r="K110" s="27"/>
      <c r="L110" s="27"/>
      <c r="M110" s="34"/>
      <c r="N110" s="20"/>
      <c r="O110" s="2"/>
      <c r="P110" s="2"/>
      <c r="Q110" s="2"/>
      <c r="R110" s="14"/>
      <c r="S110" s="11"/>
      <c r="T110" s="11"/>
      <c r="U110" s="11"/>
      <c r="V110" s="11"/>
      <c r="W110" s="11"/>
      <c r="X110" s="11"/>
      <c r="Y110" s="11"/>
    </row>
    <row r="111" spans="1:25" x14ac:dyDescent="0.2">
      <c r="B111" s="8"/>
      <c r="C111" s="6"/>
      <c r="H111" s="27"/>
      <c r="I111" s="27"/>
      <c r="J111" s="27"/>
      <c r="K111" s="27"/>
      <c r="L111" s="27"/>
      <c r="M111" s="34"/>
      <c r="N111" s="20"/>
      <c r="O111" s="2"/>
      <c r="P111" s="2"/>
      <c r="Q111" s="2"/>
      <c r="R111" s="14"/>
      <c r="S111" s="11"/>
      <c r="T111" s="11"/>
      <c r="U111" s="11"/>
      <c r="V111" s="11"/>
      <c r="W111" s="11"/>
      <c r="X111" s="11"/>
      <c r="Y111" s="11"/>
    </row>
    <row r="112" spans="1:25" x14ac:dyDescent="0.2">
      <c r="B112" s="8"/>
      <c r="C112" s="6"/>
      <c r="H112" s="35"/>
      <c r="I112" s="35"/>
      <c r="J112" s="35"/>
      <c r="K112" s="35"/>
      <c r="L112" s="20"/>
      <c r="M112" s="34"/>
      <c r="N112" s="34"/>
      <c r="O112" s="2"/>
      <c r="P112" s="2"/>
      <c r="Q112" s="2"/>
      <c r="R112" s="14"/>
      <c r="S112" s="11"/>
      <c r="T112" s="11"/>
      <c r="U112" s="11"/>
      <c r="V112" s="11"/>
      <c r="W112" s="11"/>
      <c r="X112" s="11"/>
      <c r="Y112" s="11"/>
    </row>
    <row r="113" spans="2:25" x14ac:dyDescent="0.2">
      <c r="B113" s="8"/>
      <c r="C113" s="20"/>
      <c r="H113" s="27"/>
      <c r="I113" s="27"/>
      <c r="J113" s="27"/>
      <c r="K113" s="27"/>
      <c r="L113" s="27"/>
      <c r="M113" s="34"/>
      <c r="N113" s="20"/>
      <c r="O113" s="2"/>
      <c r="P113" s="2"/>
      <c r="Q113" s="2"/>
      <c r="R113" s="14"/>
      <c r="S113" s="11"/>
      <c r="T113" s="11"/>
      <c r="U113" s="11"/>
      <c r="V113" s="11"/>
      <c r="W113" s="11"/>
      <c r="X113" s="11"/>
      <c r="Y113" s="11"/>
    </row>
    <row r="114" spans="2:25" x14ac:dyDescent="0.2">
      <c r="B114" s="8"/>
      <c r="C114" s="20"/>
      <c r="H114" s="27"/>
      <c r="I114" s="27"/>
      <c r="J114" s="27"/>
      <c r="K114" s="27"/>
      <c r="L114" s="27"/>
      <c r="M114" s="34"/>
      <c r="N114" s="20"/>
      <c r="O114" s="2"/>
      <c r="P114" s="2"/>
      <c r="Q114" s="2"/>
      <c r="R114" s="14"/>
      <c r="S114" s="11"/>
      <c r="T114" s="11"/>
      <c r="U114" s="11"/>
      <c r="V114" s="11"/>
      <c r="W114" s="11"/>
      <c r="X114" s="11"/>
      <c r="Y114" s="11"/>
    </row>
    <row r="115" spans="2:25" x14ac:dyDescent="0.2">
      <c r="B115" s="8"/>
      <c r="C115" s="20"/>
      <c r="D115" s="20"/>
      <c r="E115" s="28"/>
      <c r="F115" s="20"/>
      <c r="G115" s="28"/>
      <c r="H115" s="27"/>
      <c r="I115" s="27"/>
      <c r="J115" s="27"/>
      <c r="K115" s="27"/>
      <c r="L115" s="27"/>
      <c r="M115" s="34"/>
      <c r="N115" s="34"/>
      <c r="O115" s="2"/>
      <c r="P115" s="2"/>
      <c r="Q115" s="2"/>
      <c r="R115" s="14"/>
      <c r="S115" s="11"/>
      <c r="T115" s="11"/>
      <c r="U115" s="11"/>
      <c r="V115" s="11"/>
      <c r="W115" s="11"/>
      <c r="X115" s="11"/>
      <c r="Y115" s="11"/>
    </row>
    <row r="116" spans="2:25" x14ac:dyDescent="0.2">
      <c r="B116" s="8"/>
      <c r="F116" s="20"/>
      <c r="G116" s="28"/>
      <c r="H116" s="27"/>
      <c r="I116" s="27"/>
      <c r="J116" s="27"/>
      <c r="K116" s="27"/>
      <c r="L116" s="27"/>
      <c r="M116" s="34"/>
      <c r="N116" s="34"/>
      <c r="O116" s="2"/>
      <c r="P116" s="2"/>
      <c r="Q116" s="2"/>
      <c r="R116" s="14"/>
      <c r="S116" s="11"/>
      <c r="T116" s="11"/>
      <c r="U116" s="11"/>
      <c r="V116" s="11"/>
      <c r="W116" s="11"/>
      <c r="X116" s="11"/>
      <c r="Y116" s="11"/>
    </row>
    <row r="117" spans="2:25" x14ac:dyDescent="0.2">
      <c r="B117" s="8"/>
      <c r="F117" s="28"/>
      <c r="G117" s="28"/>
      <c r="H117" s="36"/>
      <c r="I117" s="36"/>
      <c r="J117" s="36"/>
      <c r="K117" s="36"/>
      <c r="L117" s="36"/>
      <c r="M117" s="36"/>
      <c r="N117" s="20"/>
      <c r="O117" s="14"/>
      <c r="P117" s="14"/>
      <c r="Q117" s="14"/>
      <c r="R117" s="14"/>
      <c r="S117" s="11"/>
      <c r="T117" s="11"/>
      <c r="U117" s="11"/>
      <c r="V117" s="11"/>
      <c r="W117" s="11"/>
      <c r="X117" s="11"/>
      <c r="Y117" s="11"/>
    </row>
    <row r="118" spans="2:25" x14ac:dyDescent="0.2">
      <c r="B118" s="8"/>
      <c r="F118" s="28"/>
      <c r="G118" s="20"/>
      <c r="H118" s="20"/>
      <c r="I118" s="20"/>
      <c r="J118" s="20"/>
      <c r="K118" s="20"/>
      <c r="L118" s="20"/>
      <c r="M118" s="7"/>
      <c r="N118" s="20"/>
      <c r="O118" s="14"/>
      <c r="P118" s="14"/>
      <c r="Q118" s="14"/>
      <c r="R118" s="14"/>
    </row>
    <row r="119" spans="2:25" x14ac:dyDescent="0.2">
      <c r="B119" s="8"/>
      <c r="F119" s="20"/>
      <c r="G119" s="37"/>
      <c r="H119" s="38"/>
      <c r="I119" s="38"/>
      <c r="J119" s="38"/>
      <c r="K119" s="38"/>
      <c r="L119" s="39"/>
      <c r="M119" s="34"/>
      <c r="N119" s="20"/>
      <c r="O119" s="14"/>
      <c r="P119" s="14"/>
      <c r="Q119" s="14"/>
      <c r="R119" s="14"/>
    </row>
    <row r="120" spans="2:25" x14ac:dyDescent="0.2">
      <c r="B120" s="8"/>
      <c r="F120" s="20"/>
      <c r="G120" s="28"/>
      <c r="H120" s="27"/>
      <c r="I120" s="27"/>
      <c r="J120" s="27"/>
      <c r="K120" s="27"/>
      <c r="L120" s="39"/>
      <c r="M120" s="34"/>
      <c r="N120" s="20"/>
      <c r="O120" s="14"/>
      <c r="P120" s="14"/>
      <c r="Q120" s="14"/>
      <c r="R120" s="14"/>
    </row>
    <row r="121" spans="2:25" x14ac:dyDescent="0.2">
      <c r="B121" s="8"/>
      <c r="F121" s="20"/>
      <c r="G121" s="28"/>
      <c r="H121" s="27"/>
      <c r="I121" s="27"/>
      <c r="J121" s="27"/>
      <c r="K121" s="27"/>
      <c r="L121" s="27"/>
      <c r="M121" s="34"/>
      <c r="N121" s="40"/>
      <c r="O121" s="41"/>
      <c r="P121" s="41"/>
      <c r="Q121" s="41"/>
      <c r="R121" s="41"/>
    </row>
    <row r="122" spans="2:25" x14ac:dyDescent="0.2">
      <c r="B122" s="11"/>
      <c r="C122" s="11"/>
      <c r="D122" s="11"/>
    </row>
    <row r="123" spans="2:25" x14ac:dyDescent="0.2">
      <c r="B123" s="11"/>
      <c r="C123" s="11"/>
      <c r="D123" s="11"/>
    </row>
    <row r="124" spans="2:25" x14ac:dyDescent="0.2">
      <c r="B124" s="11"/>
      <c r="C124" s="11"/>
      <c r="D124" s="11"/>
    </row>
    <row r="125" spans="2:25" x14ac:dyDescent="0.2">
      <c r="B125" s="11"/>
      <c r="C125" s="11"/>
      <c r="D125" s="11"/>
    </row>
    <row r="126" spans="2:25" x14ac:dyDescent="0.2">
      <c r="B126" s="11"/>
      <c r="C126" s="11"/>
      <c r="D126" s="11"/>
    </row>
    <row r="127" spans="2:25" x14ac:dyDescent="0.2">
      <c r="B127" s="11"/>
      <c r="C127" s="11"/>
      <c r="D127" s="11"/>
    </row>
    <row r="128" spans="2:25" x14ac:dyDescent="0.2">
      <c r="B128" s="11"/>
      <c r="C128" s="11"/>
      <c r="D128" s="11"/>
    </row>
    <row r="129" spans="2:4" x14ac:dyDescent="0.2">
      <c r="B129" s="11"/>
      <c r="C129" s="11"/>
      <c r="D129" s="11"/>
    </row>
    <row r="130" spans="2:4" x14ac:dyDescent="0.2">
      <c r="B130" s="11"/>
      <c r="C130" s="11"/>
      <c r="D130" s="11"/>
    </row>
    <row r="131" spans="2:4" x14ac:dyDescent="0.2">
      <c r="B131" s="11"/>
      <c r="C131" s="11"/>
      <c r="D131" s="11"/>
    </row>
    <row r="132" spans="2:4" x14ac:dyDescent="0.2">
      <c r="B132" s="11"/>
      <c r="C132" s="11"/>
      <c r="D132" s="11"/>
    </row>
    <row r="133" spans="2:4" x14ac:dyDescent="0.2">
      <c r="B133" s="11"/>
      <c r="C133" s="11"/>
      <c r="D133" s="11"/>
    </row>
    <row r="134" spans="2:4" x14ac:dyDescent="0.2">
      <c r="B134" s="11"/>
      <c r="C134" s="11"/>
      <c r="D134" s="11"/>
    </row>
    <row r="135" spans="2:4" x14ac:dyDescent="0.2">
      <c r="B135" s="11"/>
      <c r="C135" s="11"/>
      <c r="D135" s="11"/>
    </row>
    <row r="136" spans="2:4" x14ac:dyDescent="0.2">
      <c r="B136" s="11"/>
      <c r="C136" s="11"/>
      <c r="D136" s="11"/>
    </row>
    <row r="137" spans="2:4" x14ac:dyDescent="0.2">
      <c r="B137" s="11"/>
      <c r="C137" s="11"/>
      <c r="D137" s="11"/>
    </row>
  </sheetData>
  <phoneticPr fontId="0" type="noConversion"/>
  <printOptions gridLines="1"/>
  <pageMargins left="0.75" right="0.75" top="1" bottom="1" header="0.5" footer="0.5"/>
  <pageSetup scale="66" orientation="landscape" horizontalDpi="300" verticalDpi="300" r:id="rId1"/>
  <headerFooter alignWithMargins="0">
    <oddFooter>&amp;L&amp;F&amp;A&amp;CPLG Copyright&amp;R&amp;D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58"/>
  <sheetViews>
    <sheetView zoomScale="80" zoomScaleNormal="80" workbookViewId="0"/>
  </sheetViews>
  <sheetFormatPr defaultColWidth="9.140625" defaultRowHeight="12.75" x14ac:dyDescent="0.2"/>
  <cols>
    <col min="1" max="1" width="2.85546875" style="11" customWidth="1"/>
    <col min="2" max="2" width="9.140625" style="11"/>
    <col min="3" max="3" width="22.140625" style="11" customWidth="1"/>
    <col min="4" max="4" width="7.85546875" style="11" customWidth="1"/>
    <col min="5" max="5" width="9.85546875" style="11" customWidth="1"/>
    <col min="6" max="8" width="9.28515625" style="11" customWidth="1"/>
    <col min="9" max="9" width="10.140625" style="11" customWidth="1"/>
    <col min="10" max="17" width="9.28515625" style="11" customWidth="1"/>
    <col min="18" max="18" width="10.85546875" style="11" customWidth="1"/>
    <col min="19" max="19" width="5.42578125" style="11" customWidth="1"/>
    <col min="20" max="21" width="9.140625" style="11"/>
    <col min="22" max="22" width="7.7109375" style="11" customWidth="1"/>
    <col min="23" max="16384" width="9.140625" style="11"/>
  </cols>
  <sheetData>
    <row r="1" spans="1:38" ht="15.75" x14ac:dyDescent="0.25">
      <c r="A1" s="121" t="s">
        <v>130</v>
      </c>
      <c r="B1" s="8"/>
      <c r="C1" s="8"/>
      <c r="E1" s="22" t="s">
        <v>86</v>
      </c>
      <c r="G1" s="6"/>
      <c r="H1" s="198" t="s">
        <v>143</v>
      </c>
      <c r="I1" s="229"/>
      <c r="J1" s="229"/>
      <c r="K1" s="229"/>
      <c r="N1" s="89"/>
      <c r="S1" s="8"/>
      <c r="AL1" s="14"/>
    </row>
    <row r="2" spans="1:38" ht="12" customHeight="1" x14ac:dyDescent="0.25">
      <c r="A2" s="121"/>
      <c r="B2" s="8"/>
      <c r="C2" s="8"/>
      <c r="E2" s="22"/>
      <c r="G2" s="6"/>
      <c r="H2" s="6"/>
      <c r="I2" s="6"/>
      <c r="J2" s="6"/>
      <c r="K2" s="6"/>
      <c r="L2" s="6"/>
      <c r="N2" s="734"/>
      <c r="O2" s="21"/>
      <c r="S2" s="8"/>
      <c r="AL2" s="14"/>
    </row>
    <row r="3" spans="1:38" ht="12" customHeight="1" x14ac:dyDescent="0.25">
      <c r="A3" s="359"/>
      <c r="B3" s="210"/>
      <c r="C3" s="210"/>
      <c r="D3" s="287"/>
      <c r="E3" s="364"/>
      <c r="F3" s="287"/>
      <c r="G3" s="287"/>
      <c r="H3" s="287"/>
      <c r="I3" s="287"/>
      <c r="J3" s="287"/>
      <c r="K3" s="287"/>
      <c r="L3" s="287"/>
      <c r="M3" s="287"/>
      <c r="N3" s="361"/>
      <c r="O3" s="210"/>
      <c r="P3" s="287"/>
      <c r="Q3" s="210"/>
      <c r="R3" s="464" t="s">
        <v>6</v>
      </c>
      <c r="U3" s="51"/>
      <c r="V3" s="51"/>
      <c r="W3" s="433"/>
      <c r="AL3" s="14"/>
    </row>
    <row r="4" spans="1:38" ht="12" customHeight="1" x14ac:dyDescent="0.25">
      <c r="A4" s="371"/>
      <c r="B4" s="244" t="s">
        <v>541</v>
      </c>
      <c r="C4" s="8"/>
      <c r="E4" s="465"/>
      <c r="H4" s="51">
        <v>1</v>
      </c>
      <c r="I4" s="51">
        <f>H4+1</f>
        <v>2</v>
      </c>
      <c r="J4" s="51">
        <f t="shared" ref="J4" si="0">I4+1</f>
        <v>3</v>
      </c>
      <c r="K4" s="51">
        <f t="shared" ref="K4" si="1">J4+1</f>
        <v>4</v>
      </c>
      <c r="L4" s="51">
        <f t="shared" ref="L4" si="2">K4+1</f>
        <v>5</v>
      </c>
      <c r="M4" s="51">
        <f t="shared" ref="M4" si="3">L4+1</f>
        <v>6</v>
      </c>
      <c r="N4" s="51">
        <f t="shared" ref="N4" si="4">M4+1</f>
        <v>7</v>
      </c>
      <c r="O4" s="51">
        <f t="shared" ref="O4" si="5">N4+1</f>
        <v>8</v>
      </c>
      <c r="P4" s="51">
        <f t="shared" ref="P4" si="6">O4+1</f>
        <v>9</v>
      </c>
      <c r="Q4" s="51">
        <f t="shared" ref="Q4" si="7">P4+1</f>
        <v>10</v>
      </c>
      <c r="R4" s="214" t="s">
        <v>339</v>
      </c>
      <c r="U4" s="51"/>
      <c r="V4" s="51"/>
      <c r="W4" s="433"/>
      <c r="AL4" s="14"/>
    </row>
    <row r="5" spans="1:38" x14ac:dyDescent="0.2">
      <c r="A5" s="213"/>
      <c r="B5" s="244" t="s">
        <v>28</v>
      </c>
      <c r="C5" s="8"/>
      <c r="D5" s="8"/>
      <c r="E5" s="299">
        <v>0</v>
      </c>
      <c r="F5" s="55">
        <v>1</v>
      </c>
      <c r="G5" s="55">
        <f>F5+1</f>
        <v>2</v>
      </c>
      <c r="H5" s="55">
        <f t="shared" ref="H5:Q5" si="8">G5+1</f>
        <v>3</v>
      </c>
      <c r="I5" s="55">
        <f t="shared" si="8"/>
        <v>4</v>
      </c>
      <c r="J5" s="55">
        <f t="shared" si="8"/>
        <v>5</v>
      </c>
      <c r="K5" s="55">
        <f t="shared" si="8"/>
        <v>6</v>
      </c>
      <c r="L5" s="55">
        <f t="shared" si="8"/>
        <v>7</v>
      </c>
      <c r="M5" s="55">
        <f t="shared" si="8"/>
        <v>8</v>
      </c>
      <c r="N5" s="55">
        <f t="shared" si="8"/>
        <v>9</v>
      </c>
      <c r="O5" s="55">
        <f t="shared" si="8"/>
        <v>10</v>
      </c>
      <c r="P5" s="55">
        <f t="shared" si="8"/>
        <v>11</v>
      </c>
      <c r="Q5" s="55">
        <f t="shared" si="8"/>
        <v>12</v>
      </c>
      <c r="R5" s="466" t="s">
        <v>24</v>
      </c>
      <c r="T5" s="433"/>
    </row>
    <row r="6" spans="1:38" x14ac:dyDescent="0.2">
      <c r="A6" s="318"/>
      <c r="B6" s="95"/>
      <c r="C6" s="320"/>
      <c r="D6" s="65"/>
      <c r="E6" s="363">
        <f>Control!M5</f>
        <v>2009</v>
      </c>
      <c r="F6" s="362">
        <f>E6+1</f>
        <v>2010</v>
      </c>
      <c r="G6" s="362">
        <f t="shared" ref="G6:O6" si="9">F6+1</f>
        <v>2011</v>
      </c>
      <c r="H6" s="362">
        <f t="shared" si="9"/>
        <v>2012</v>
      </c>
      <c r="I6" s="362">
        <f t="shared" si="9"/>
        <v>2013</v>
      </c>
      <c r="J6" s="362">
        <f t="shared" si="9"/>
        <v>2014</v>
      </c>
      <c r="K6" s="362">
        <f t="shared" si="9"/>
        <v>2015</v>
      </c>
      <c r="L6" s="362">
        <f t="shared" si="9"/>
        <v>2016</v>
      </c>
      <c r="M6" s="362">
        <f t="shared" si="9"/>
        <v>2017</v>
      </c>
      <c r="N6" s="362">
        <f t="shared" si="9"/>
        <v>2018</v>
      </c>
      <c r="O6" s="362">
        <f t="shared" si="9"/>
        <v>2019</v>
      </c>
      <c r="P6" s="362">
        <f>O6+1</f>
        <v>2020</v>
      </c>
      <c r="Q6" s="362">
        <f t="shared" ref="Q6" si="10">P6+1</f>
        <v>2021</v>
      </c>
      <c r="R6" s="214"/>
      <c r="T6" s="433"/>
    </row>
    <row r="7" spans="1:38" x14ac:dyDescent="0.2">
      <c r="A7" s="284"/>
      <c r="B7" s="28"/>
      <c r="C7" s="20"/>
      <c r="D7" s="20"/>
      <c r="E7" s="467"/>
      <c r="F7" s="24"/>
      <c r="G7" s="24"/>
      <c r="H7" s="24"/>
      <c r="I7" s="24"/>
      <c r="J7" s="47"/>
      <c r="K7" s="47"/>
      <c r="L7" s="47"/>
      <c r="M7" s="47"/>
      <c r="N7" s="47"/>
      <c r="O7" s="47"/>
      <c r="P7" s="471"/>
      <c r="Q7" s="471"/>
      <c r="R7" s="520">
        <v>3</v>
      </c>
    </row>
    <row r="8" spans="1:38" x14ac:dyDescent="0.2">
      <c r="A8" s="216" t="s">
        <v>546</v>
      </c>
      <c r="B8" s="28"/>
      <c r="C8" s="252"/>
      <c r="D8" s="144" t="s">
        <v>5</v>
      </c>
      <c r="E8" s="300"/>
      <c r="F8" s="67"/>
      <c r="G8" s="67"/>
      <c r="H8" s="238">
        <f>Sales!J40</f>
        <v>71.165834772232131</v>
      </c>
      <c r="I8" s="238">
        <f>Sales!K40</f>
        <v>444.21451233115005</v>
      </c>
      <c r="J8" s="238">
        <f>Sales!L40</f>
        <v>1040.359961145009</v>
      </c>
      <c r="K8" s="238">
        <f>Sales!M40</f>
        <v>1859.365329504978</v>
      </c>
      <c r="L8" s="238">
        <f>Sales!N40</f>
        <v>2490.7782387615471</v>
      </c>
      <c r="M8" s="238">
        <f>Sales!O40</f>
        <v>3065.54804273432</v>
      </c>
      <c r="N8" s="238">
        <f>Sales!P40</f>
        <v>3635.2903534855377</v>
      </c>
      <c r="O8" s="238">
        <f>Sales!Q40</f>
        <v>4137.5166947750786</v>
      </c>
      <c r="P8" s="238">
        <f>Sales!R40</f>
        <v>4651.3379613805355</v>
      </c>
      <c r="Q8" s="238">
        <f>Sales!S40</f>
        <v>4972.5150004147199</v>
      </c>
      <c r="R8" s="474">
        <f>R7*Q8</f>
        <v>14917.54500124416</v>
      </c>
      <c r="T8" s="52"/>
      <c r="U8" s="18"/>
      <c r="W8" s="52"/>
      <c r="X8" s="18"/>
      <c r="Y8" s="18"/>
    </row>
    <row r="9" spans="1:38" x14ac:dyDescent="0.2">
      <c r="A9" s="317" t="s">
        <v>7</v>
      </c>
      <c r="B9" s="8"/>
      <c r="C9" s="28"/>
      <c r="D9" s="20"/>
      <c r="E9" s="467"/>
      <c r="F9" s="30"/>
      <c r="G9" s="30"/>
      <c r="H9" s="30"/>
      <c r="I9" s="30"/>
      <c r="J9" s="30"/>
      <c r="K9" s="30"/>
      <c r="L9" s="30"/>
      <c r="M9" s="30"/>
      <c r="N9" s="30"/>
      <c r="O9" s="30"/>
      <c r="P9" s="461"/>
      <c r="Q9" s="30"/>
      <c r="R9" s="476"/>
      <c r="T9" s="52"/>
      <c r="U9" s="18"/>
      <c r="W9" s="52"/>
      <c r="X9" s="18"/>
      <c r="Y9" s="18"/>
    </row>
    <row r="10" spans="1:38" x14ac:dyDescent="0.2">
      <c r="A10" s="317"/>
      <c r="B10" s="20" t="s">
        <v>97</v>
      </c>
      <c r="C10" s="28"/>
      <c r="D10" s="144" t="s">
        <v>547</v>
      </c>
      <c r="E10" s="301">
        <f>COG!F59</f>
        <v>0</v>
      </c>
      <c r="F10" s="27">
        <f>COG!G59</f>
        <v>0</v>
      </c>
      <c r="G10" s="27">
        <f>COG!H59</f>
        <v>0</v>
      </c>
      <c r="H10" s="27">
        <f>COG!I59</f>
        <v>3.2902999528672616</v>
      </c>
      <c r="I10" s="27">
        <f>COG!J59</f>
        <v>24.939397182843933</v>
      </c>
      <c r="J10" s="27">
        <f>COG!K59</f>
        <v>77.981651440379338</v>
      </c>
      <c r="K10" s="27">
        <f>COG!L59</f>
        <v>98.456435296583564</v>
      </c>
      <c r="L10" s="27">
        <f>COG!M59</f>
        <v>135.20064058013531</v>
      </c>
      <c r="M10" s="27">
        <f>COG!N59</f>
        <v>168.11184195046229</v>
      </c>
      <c r="N10" s="27">
        <f>COG!O59</f>
        <v>198.77509305267105</v>
      </c>
      <c r="O10" s="27">
        <f>COG!P59</f>
        <v>227.19918324232816</v>
      </c>
      <c r="P10" s="27">
        <f>COG!Q59</f>
        <v>255.53125673804146</v>
      </c>
      <c r="Q10" s="27">
        <f>COG!R59</f>
        <v>272.36063874157441</v>
      </c>
      <c r="R10" s="75"/>
      <c r="T10" s="52"/>
      <c r="U10" s="18"/>
      <c r="W10" s="52"/>
      <c r="X10" s="18"/>
      <c r="Y10" s="18"/>
    </row>
    <row r="11" spans="1:38" x14ac:dyDescent="0.2">
      <c r="A11" s="213"/>
      <c r="B11" s="28" t="s">
        <v>178</v>
      </c>
      <c r="C11" s="28"/>
      <c r="D11" s="462">
        <v>0.03</v>
      </c>
      <c r="E11" s="302">
        <f t="shared" ref="E11:K11" si="11">$D$11*E8</f>
        <v>0</v>
      </c>
      <c r="F11" s="152">
        <f t="shared" si="11"/>
        <v>0</v>
      </c>
      <c r="G11" s="152">
        <f t="shared" si="11"/>
        <v>0</v>
      </c>
      <c r="H11" s="152">
        <f t="shared" si="11"/>
        <v>2.1349750431669641</v>
      </c>
      <c r="I11" s="152">
        <f t="shared" si="11"/>
        <v>13.326435369934501</v>
      </c>
      <c r="J11" s="152">
        <f t="shared" si="11"/>
        <v>31.210798834350271</v>
      </c>
      <c r="K11" s="152">
        <f t="shared" si="11"/>
        <v>55.780959885149336</v>
      </c>
      <c r="L11" s="152">
        <f>$D$11*L8</f>
        <v>74.723347162846409</v>
      </c>
      <c r="M11" s="152">
        <f>$D$11*M8</f>
        <v>91.966441282029592</v>
      </c>
      <c r="N11" s="152">
        <f>$D$11*N8</f>
        <v>109.05871060456613</v>
      </c>
      <c r="O11" s="152">
        <f>$D$11*O8</f>
        <v>124.12550084325235</v>
      </c>
      <c r="P11" s="152">
        <f t="shared" ref="P11:Q11" si="12">$D$11*P8</f>
        <v>139.54013884141605</v>
      </c>
      <c r="Q11" s="152">
        <f t="shared" si="12"/>
        <v>149.17545001244159</v>
      </c>
      <c r="R11" s="477"/>
      <c r="T11" s="52"/>
      <c r="U11" s="18"/>
      <c r="W11" s="52"/>
      <c r="X11" s="18"/>
      <c r="Y11" s="18"/>
    </row>
    <row r="12" spans="1:38" x14ac:dyDescent="0.2">
      <c r="A12" s="317" t="s">
        <v>29</v>
      </c>
      <c r="B12" s="28"/>
      <c r="C12" s="28"/>
      <c r="D12" s="127"/>
      <c r="E12" s="303">
        <f t="shared" ref="E12:K12" si="13">E8-E10-E11</f>
        <v>0</v>
      </c>
      <c r="F12" s="26">
        <f t="shared" si="13"/>
        <v>0</v>
      </c>
      <c r="G12" s="26">
        <f t="shared" si="13"/>
        <v>0</v>
      </c>
      <c r="H12" s="26">
        <f t="shared" si="13"/>
        <v>65.740559776197912</v>
      </c>
      <c r="I12" s="26">
        <f t="shared" si="13"/>
        <v>405.94867977837157</v>
      </c>
      <c r="J12" s="26">
        <f t="shared" si="13"/>
        <v>931.16751087027944</v>
      </c>
      <c r="K12" s="26">
        <f t="shared" si="13"/>
        <v>1705.1279343232452</v>
      </c>
      <c r="L12" s="26">
        <f>L8-L10-L11</f>
        <v>2280.8542510185653</v>
      </c>
      <c r="M12" s="26">
        <f>M8-M10-M11</f>
        <v>2805.4697595018279</v>
      </c>
      <c r="N12" s="26">
        <f>N8-N10-N11</f>
        <v>3327.4565498283009</v>
      </c>
      <c r="O12" s="26">
        <f>O8-O10-O11</f>
        <v>3786.1920106894981</v>
      </c>
      <c r="P12" s="472">
        <f t="shared" ref="P12:Q12" si="14">P8-P10-P11</f>
        <v>4256.2665658010783</v>
      </c>
      <c r="Q12" s="472">
        <f t="shared" si="14"/>
        <v>4550.9789116607035</v>
      </c>
      <c r="R12" s="480">
        <f>R8</f>
        <v>14917.54500124416</v>
      </c>
      <c r="T12" s="52"/>
      <c r="U12" s="18"/>
      <c r="W12" s="52"/>
      <c r="X12" s="18"/>
      <c r="Y12" s="18"/>
    </row>
    <row r="13" spans="1:38" x14ac:dyDescent="0.2">
      <c r="A13" s="317"/>
      <c r="B13" s="28" t="s">
        <v>253</v>
      </c>
      <c r="C13" s="28"/>
      <c r="D13" s="457">
        <f>Control!S13</f>
        <v>0.04</v>
      </c>
      <c r="E13" s="301">
        <f>$D$13*E8</f>
        <v>0</v>
      </c>
      <c r="F13" s="27">
        <f t="shared" ref="F13:Q13" si="15">$D$13*F8</f>
        <v>0</v>
      </c>
      <c r="G13" s="27">
        <f t="shared" si="15"/>
        <v>0</v>
      </c>
      <c r="H13" s="27">
        <f t="shared" si="15"/>
        <v>2.8466333908892851</v>
      </c>
      <c r="I13" s="27">
        <f t="shared" si="15"/>
        <v>17.768580493246002</v>
      </c>
      <c r="J13" s="27">
        <f t="shared" si="15"/>
        <v>41.614398445800362</v>
      </c>
      <c r="K13" s="27">
        <f t="shared" si="15"/>
        <v>74.37461318019912</v>
      </c>
      <c r="L13" s="27">
        <f t="shared" si="15"/>
        <v>99.631129550461878</v>
      </c>
      <c r="M13" s="27">
        <f t="shared" si="15"/>
        <v>122.6219217093728</v>
      </c>
      <c r="N13" s="27">
        <f t="shared" si="15"/>
        <v>145.41161413942152</v>
      </c>
      <c r="O13" s="27">
        <f t="shared" si="15"/>
        <v>165.50066779100314</v>
      </c>
      <c r="P13" s="27">
        <f t="shared" si="15"/>
        <v>186.05351845522142</v>
      </c>
      <c r="Q13" s="27">
        <f t="shared" si="15"/>
        <v>198.90060001658881</v>
      </c>
      <c r="R13" s="477"/>
      <c r="T13" s="52"/>
      <c r="U13" s="18"/>
      <c r="W13" s="52"/>
      <c r="X13" s="18"/>
      <c r="Y13" s="18"/>
    </row>
    <row r="14" spans="1:38" x14ac:dyDescent="0.2">
      <c r="A14" s="317"/>
      <c r="B14" s="516" t="s">
        <v>45</v>
      </c>
      <c r="C14" s="28"/>
      <c r="D14" s="144" t="s">
        <v>45</v>
      </c>
      <c r="E14" s="301">
        <f>'R&amp;D'!I46</f>
        <v>18.924655040000001</v>
      </c>
      <c r="F14" s="27">
        <f>'R&amp;D'!J46</f>
        <v>56.540765759999992</v>
      </c>
      <c r="G14" s="27">
        <f>'R&amp;D'!K46</f>
        <v>86.296869200000003</v>
      </c>
      <c r="H14" s="27">
        <f>'R&amp;D'!L46</f>
        <v>110.10110520000001</v>
      </c>
      <c r="I14" s="27">
        <f>'R&amp;D'!M46</f>
        <v>117.71219920000001</v>
      </c>
      <c r="J14" s="27">
        <f>'R&amp;D'!N46</f>
        <v>140.4339392</v>
      </c>
      <c r="K14" s="27">
        <f>'R&amp;D'!O46</f>
        <v>135.4152072</v>
      </c>
      <c r="L14" s="27">
        <f>'R&amp;D'!P46</f>
        <v>84.721067200000007</v>
      </c>
      <c r="M14" s="27">
        <f>'R&amp;D'!Q46</f>
        <v>54.371679999999998</v>
      </c>
      <c r="N14" s="27">
        <f>'R&amp;D'!R46</f>
        <v>37.185840000000006</v>
      </c>
      <c r="O14" s="27">
        <f>'R&amp;D'!S46</f>
        <v>20</v>
      </c>
      <c r="P14" s="27">
        <f>'R&amp;D'!T46</f>
        <v>20</v>
      </c>
      <c r="Q14" s="27">
        <f>'R&amp;D'!U46</f>
        <v>20</v>
      </c>
      <c r="R14" s="477"/>
      <c r="T14" s="52"/>
      <c r="U14" s="18"/>
      <c r="W14" s="52"/>
      <c r="X14" s="18"/>
      <c r="Y14" s="18"/>
    </row>
    <row r="15" spans="1:38" x14ac:dyDescent="0.2">
      <c r="A15" s="317"/>
      <c r="B15" s="28" t="s">
        <v>109</v>
      </c>
      <c r="C15" s="28"/>
      <c r="D15" s="144" t="s">
        <v>364</v>
      </c>
      <c r="E15" s="301">
        <f>'S&amp;M'!E58</f>
        <v>0</v>
      </c>
      <c r="F15" s="27">
        <f>'S&amp;M'!F58</f>
        <v>0</v>
      </c>
      <c r="G15" s="27">
        <f>'S&amp;M'!G58</f>
        <v>0</v>
      </c>
      <c r="H15" s="27">
        <f>'S&amp;M'!H58</f>
        <v>64.666666666666671</v>
      </c>
      <c r="I15" s="27">
        <f>'S&amp;M'!I58</f>
        <v>212.69583333333335</v>
      </c>
      <c r="J15" s="27">
        <f>'S&amp;M'!J58</f>
        <v>420.66666666666674</v>
      </c>
      <c r="K15" s="27">
        <f>'S&amp;M'!K58</f>
        <v>568.86249999999995</v>
      </c>
      <c r="L15" s="27">
        <f>'S&amp;M'!L58</f>
        <v>568.86249999999995</v>
      </c>
      <c r="M15" s="27">
        <f>'S&amp;M'!M58</f>
        <v>559.95000000000005</v>
      </c>
      <c r="N15" s="27">
        <f>'S&amp;M'!N58</f>
        <v>559.95000000000005</v>
      </c>
      <c r="O15" s="27">
        <f>'S&amp;M'!O58</f>
        <v>559.95000000000005</v>
      </c>
      <c r="P15" s="27">
        <f>'S&amp;M'!P58</f>
        <v>559.95000000000005</v>
      </c>
      <c r="Q15" s="27">
        <f>'S&amp;M'!Q58</f>
        <v>559.95000000000005</v>
      </c>
      <c r="R15" s="477"/>
      <c r="T15" s="52"/>
      <c r="U15" s="18"/>
      <c r="W15" s="52"/>
      <c r="X15" s="18"/>
      <c r="Y15" s="18"/>
    </row>
    <row r="16" spans="1:38" x14ac:dyDescent="0.2">
      <c r="A16" s="317"/>
      <c r="B16" s="244" t="s">
        <v>281</v>
      </c>
      <c r="D16" s="462">
        <v>0</v>
      </c>
      <c r="E16" s="302">
        <f>$D$16*E8</f>
        <v>0</v>
      </c>
      <c r="F16" s="152">
        <f t="shared" ref="F16:O16" si="16">$D$16*F8</f>
        <v>0</v>
      </c>
      <c r="G16" s="152">
        <f t="shared" si="16"/>
        <v>0</v>
      </c>
      <c r="H16" s="152">
        <f t="shared" si="16"/>
        <v>0</v>
      </c>
      <c r="I16" s="152">
        <f t="shared" si="16"/>
        <v>0</v>
      </c>
      <c r="J16" s="152">
        <f t="shared" si="16"/>
        <v>0</v>
      </c>
      <c r="K16" s="152">
        <f t="shared" si="16"/>
        <v>0</v>
      </c>
      <c r="L16" s="152">
        <f t="shared" si="16"/>
        <v>0</v>
      </c>
      <c r="M16" s="152">
        <f t="shared" si="16"/>
        <v>0</v>
      </c>
      <c r="N16" s="27">
        <f t="shared" si="16"/>
        <v>0</v>
      </c>
      <c r="O16" s="27">
        <f t="shared" si="16"/>
        <v>0</v>
      </c>
      <c r="P16" s="152">
        <f>$D$16*P8</f>
        <v>0</v>
      </c>
      <c r="Q16" s="152">
        <f t="shared" ref="Q16" si="17">$D$16*Q8</f>
        <v>0</v>
      </c>
      <c r="R16" s="481"/>
      <c r="T16" s="52"/>
      <c r="U16" s="18"/>
      <c r="W16" s="52"/>
      <c r="X16" s="18"/>
      <c r="Y16" s="18"/>
    </row>
    <row r="17" spans="1:36" x14ac:dyDescent="0.2">
      <c r="A17" s="317" t="s">
        <v>9</v>
      </c>
      <c r="B17" s="8"/>
      <c r="C17" s="8"/>
      <c r="D17" s="20"/>
      <c r="E17" s="308">
        <f>SUM(E13:E16)</f>
        <v>18.924655040000001</v>
      </c>
      <c r="F17" s="39">
        <f t="shared" ref="F17:O17" si="18">SUM(F13:F16)</f>
        <v>56.540765759999992</v>
      </c>
      <c r="G17" s="39">
        <f t="shared" si="18"/>
        <v>86.296869200000003</v>
      </c>
      <c r="H17" s="39">
        <f t="shared" si="18"/>
        <v>177.61440525755597</v>
      </c>
      <c r="I17" s="39">
        <f t="shared" si="18"/>
        <v>348.17661302657939</v>
      </c>
      <c r="J17" s="39">
        <f t="shared" si="18"/>
        <v>602.71500431246704</v>
      </c>
      <c r="K17" s="39">
        <f t="shared" si="18"/>
        <v>778.65232038019906</v>
      </c>
      <c r="L17" s="39">
        <f t="shared" si="18"/>
        <v>753.21469675046183</v>
      </c>
      <c r="M17" s="39">
        <f t="shared" si="18"/>
        <v>736.94360170937284</v>
      </c>
      <c r="N17" s="473">
        <f t="shared" si="18"/>
        <v>742.54745413942157</v>
      </c>
      <c r="O17" s="473">
        <f t="shared" si="18"/>
        <v>745.45066779100318</v>
      </c>
      <c r="P17" s="473">
        <f t="shared" ref="P17:Q17" si="19">SUM(P13:P16)</f>
        <v>766.00351845522141</v>
      </c>
      <c r="Q17" s="473">
        <f t="shared" si="19"/>
        <v>778.85060001658883</v>
      </c>
      <c r="R17" s="482">
        <f t="shared" ref="R17" si="20">SUM(R13:R16)</f>
        <v>0</v>
      </c>
      <c r="T17" s="52"/>
      <c r="U17" s="18"/>
      <c r="W17" s="52"/>
      <c r="X17" s="18"/>
      <c r="Y17" s="18"/>
    </row>
    <row r="18" spans="1:36" x14ac:dyDescent="0.2">
      <c r="A18" s="317" t="s">
        <v>99</v>
      </c>
      <c r="B18" s="8"/>
      <c r="C18" s="20"/>
      <c r="D18" s="28"/>
      <c r="E18" s="399">
        <f t="shared" ref="E18:O18" si="21">E12-E17</f>
        <v>-18.924655040000001</v>
      </c>
      <c r="F18" s="400">
        <f t="shared" si="21"/>
        <v>-56.540765759999992</v>
      </c>
      <c r="G18" s="400">
        <f t="shared" si="21"/>
        <v>-86.296869200000003</v>
      </c>
      <c r="H18" s="400">
        <f t="shared" si="21"/>
        <v>-111.87384548135806</v>
      </c>
      <c r="I18" s="400">
        <f t="shared" si="21"/>
        <v>57.772066751792181</v>
      </c>
      <c r="J18" s="400">
        <f t="shared" si="21"/>
        <v>328.4525065578124</v>
      </c>
      <c r="K18" s="400">
        <f t="shared" si="21"/>
        <v>926.47561394304614</v>
      </c>
      <c r="L18" s="400">
        <f t="shared" si="21"/>
        <v>1527.6395542681034</v>
      </c>
      <c r="M18" s="400">
        <f t="shared" si="21"/>
        <v>2068.5261577924548</v>
      </c>
      <c r="N18" s="400">
        <f t="shared" si="21"/>
        <v>2584.9090956888795</v>
      </c>
      <c r="O18" s="400">
        <f t="shared" si="21"/>
        <v>3040.7413428984951</v>
      </c>
      <c r="P18" s="400">
        <f t="shared" ref="P18:Q18" si="22">P12-P17</f>
        <v>3490.2630473458566</v>
      </c>
      <c r="Q18" s="400">
        <f t="shared" si="22"/>
        <v>3772.1283116441145</v>
      </c>
      <c r="R18" s="479">
        <f t="shared" ref="R18" si="23">R12-R17</f>
        <v>14917.54500124416</v>
      </c>
      <c r="T18" s="52"/>
      <c r="U18" s="18"/>
      <c r="W18" s="52"/>
      <c r="X18" s="18"/>
      <c r="Y18" s="18"/>
    </row>
    <row r="19" spans="1:36" x14ac:dyDescent="0.2">
      <c r="A19" s="216"/>
      <c r="B19" s="31" t="s">
        <v>103</v>
      </c>
      <c r="C19" s="28"/>
      <c r="D19" s="516" t="s">
        <v>100</v>
      </c>
      <c r="E19" s="468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3"/>
      <c r="Q19" s="323"/>
      <c r="R19" s="483"/>
    </row>
    <row r="20" spans="1:36" x14ac:dyDescent="0.2">
      <c r="A20" s="216"/>
      <c r="B20" s="31" t="s">
        <v>184</v>
      </c>
      <c r="C20" s="28"/>
      <c r="D20" s="516" t="s">
        <v>100</v>
      </c>
      <c r="E20" s="468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30"/>
      <c r="Q20" s="330"/>
      <c r="R20" s="484"/>
    </row>
    <row r="21" spans="1:36" ht="13.5" thickBot="1" x14ac:dyDescent="0.25">
      <c r="A21" s="216" t="s">
        <v>270</v>
      </c>
      <c r="B21" s="31"/>
      <c r="C21" s="28"/>
      <c r="D21" s="28"/>
      <c r="E21" s="402">
        <f>E18</f>
        <v>-18.924655040000001</v>
      </c>
      <c r="F21" s="403">
        <f t="shared" ref="F21:Q21" si="24">F18</f>
        <v>-56.540765759999992</v>
      </c>
      <c r="G21" s="403">
        <f t="shared" si="24"/>
        <v>-86.296869200000003</v>
      </c>
      <c r="H21" s="403">
        <f t="shared" si="24"/>
        <v>-111.87384548135806</v>
      </c>
      <c r="I21" s="403">
        <f t="shared" si="24"/>
        <v>57.772066751792181</v>
      </c>
      <c r="J21" s="403">
        <f t="shared" si="24"/>
        <v>328.4525065578124</v>
      </c>
      <c r="K21" s="403">
        <f t="shared" si="24"/>
        <v>926.47561394304614</v>
      </c>
      <c r="L21" s="403">
        <f t="shared" si="24"/>
        <v>1527.6395542681034</v>
      </c>
      <c r="M21" s="403">
        <f t="shared" si="24"/>
        <v>2068.5261577924548</v>
      </c>
      <c r="N21" s="403">
        <f t="shared" si="24"/>
        <v>2584.9090956888795</v>
      </c>
      <c r="O21" s="403">
        <f t="shared" si="24"/>
        <v>3040.7413428984951</v>
      </c>
      <c r="P21" s="403">
        <f t="shared" si="24"/>
        <v>3490.2630473458566</v>
      </c>
      <c r="Q21" s="735">
        <f t="shared" si="24"/>
        <v>3772.1283116441145</v>
      </c>
      <c r="R21" s="738">
        <f>R18</f>
        <v>14917.54500124416</v>
      </c>
      <c r="T21" s="52"/>
    </row>
    <row r="22" spans="1:36" ht="13.5" thickTop="1" x14ac:dyDescent="0.2">
      <c r="A22" s="216"/>
      <c r="B22" s="31" t="s">
        <v>103</v>
      </c>
      <c r="C22" s="28"/>
      <c r="D22" s="28"/>
      <c r="E22" s="405"/>
      <c r="F22" s="404"/>
      <c r="G22" s="404"/>
      <c r="H22" s="404"/>
      <c r="I22" s="404"/>
      <c r="J22" s="404"/>
      <c r="K22" s="404"/>
      <c r="L22" s="404"/>
      <c r="M22" s="404"/>
      <c r="N22" s="404"/>
      <c r="O22" s="404"/>
      <c r="P22" s="404"/>
      <c r="Q22" s="404"/>
      <c r="R22" s="485"/>
      <c r="T22" s="243"/>
    </row>
    <row r="23" spans="1:36" x14ac:dyDescent="0.2">
      <c r="A23" s="216"/>
      <c r="B23" s="31" t="s">
        <v>12</v>
      </c>
      <c r="C23" s="28"/>
      <c r="D23" s="28"/>
      <c r="E23" s="468"/>
      <c r="F23" s="32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486"/>
      <c r="T23" s="243"/>
      <c r="V23" s="14"/>
      <c r="AA23" s="14"/>
      <c r="AC23" s="14"/>
      <c r="AE23" s="14"/>
      <c r="AG23" s="14"/>
      <c r="AH23" s="14"/>
      <c r="AI23" s="20"/>
      <c r="AJ23" s="14"/>
    </row>
    <row r="24" spans="1:36" x14ac:dyDescent="0.2">
      <c r="A24" s="216"/>
      <c r="B24" s="31" t="s">
        <v>132</v>
      </c>
      <c r="C24" s="28"/>
      <c r="D24" s="28"/>
      <c r="E24" s="468"/>
      <c r="F24" s="32"/>
      <c r="G24" s="25"/>
      <c r="H24" s="25"/>
      <c r="I24" s="25"/>
      <c r="J24" s="25"/>
      <c r="K24" s="25"/>
      <c r="L24" s="25"/>
      <c r="M24" s="25"/>
      <c r="N24" s="25"/>
      <c r="O24" s="25"/>
      <c r="P24" s="463"/>
      <c r="Q24" s="463"/>
      <c r="R24" s="486"/>
      <c r="T24" s="243"/>
      <c r="U24" s="12"/>
      <c r="V24" s="12"/>
      <c r="AA24" s="12"/>
      <c r="AB24" s="12"/>
      <c r="AC24" s="12"/>
      <c r="AD24" s="12"/>
      <c r="AE24" s="12"/>
      <c r="AF24" s="12"/>
      <c r="AG24" s="12"/>
      <c r="AH24" s="12"/>
      <c r="AI24" s="139"/>
    </row>
    <row r="25" spans="1:36" ht="13.5" thickBot="1" x14ac:dyDescent="0.25">
      <c r="A25" s="318" t="s">
        <v>105</v>
      </c>
      <c r="B25" s="319"/>
      <c r="C25" s="320"/>
      <c r="D25" s="320"/>
      <c r="E25" s="305">
        <f>E21+SUM(E22:E24)</f>
        <v>-18.924655040000001</v>
      </c>
      <c r="F25" s="153">
        <f>F21+SUM(F22:F24)</f>
        <v>-56.540765759999992</v>
      </c>
      <c r="G25" s="153">
        <f t="shared" ref="G25:Q25" si="25">G21+SUM(G22:G24)</f>
        <v>-86.296869200000003</v>
      </c>
      <c r="H25" s="153">
        <f t="shared" si="25"/>
        <v>-111.87384548135806</v>
      </c>
      <c r="I25" s="153">
        <f t="shared" si="25"/>
        <v>57.772066751792181</v>
      </c>
      <c r="J25" s="153">
        <f t="shared" si="25"/>
        <v>328.4525065578124</v>
      </c>
      <c r="K25" s="153">
        <f t="shared" si="25"/>
        <v>926.47561394304614</v>
      </c>
      <c r="L25" s="153">
        <f t="shared" si="25"/>
        <v>1527.6395542681034</v>
      </c>
      <c r="M25" s="153">
        <f t="shared" si="25"/>
        <v>2068.5261577924548</v>
      </c>
      <c r="N25" s="153">
        <f t="shared" si="25"/>
        <v>2584.9090956888795</v>
      </c>
      <c r="O25" s="153">
        <f t="shared" si="25"/>
        <v>3040.7413428984951</v>
      </c>
      <c r="P25" s="153">
        <f t="shared" si="25"/>
        <v>3490.2630473458566</v>
      </c>
      <c r="Q25" s="153">
        <f t="shared" si="25"/>
        <v>3772.1283116441145</v>
      </c>
      <c r="R25" s="398">
        <f>R21+R22+R23+R24</f>
        <v>14917.54500124416</v>
      </c>
      <c r="T25" s="52"/>
    </row>
    <row r="26" spans="1:36" ht="13.5" thickTop="1" x14ac:dyDescent="0.2">
      <c r="A26" s="209"/>
      <c r="B26" s="321"/>
      <c r="C26" s="322"/>
      <c r="D26" s="322"/>
      <c r="E26" s="469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401"/>
    </row>
    <row r="27" spans="1:36" x14ac:dyDescent="0.2">
      <c r="A27" s="216" t="s">
        <v>25</v>
      </c>
      <c r="B27" s="31"/>
      <c r="C27" s="28" t="s">
        <v>27</v>
      </c>
      <c r="D27" s="28"/>
      <c r="E27" s="304">
        <f>E25</f>
        <v>-18.924655040000001</v>
      </c>
      <c r="F27" s="32">
        <f>F25+E27</f>
        <v>-75.46542079999999</v>
      </c>
      <c r="G27" s="32">
        <f t="shared" ref="G27:O27" si="26">G25+F27</f>
        <v>-161.76229000000001</v>
      </c>
      <c r="H27" s="32">
        <f t="shared" si="26"/>
        <v>-273.63613548135805</v>
      </c>
      <c r="I27" s="32">
        <f t="shared" si="26"/>
        <v>-215.86406872956587</v>
      </c>
      <c r="J27" s="32">
        <f t="shared" si="26"/>
        <v>112.58843782824653</v>
      </c>
      <c r="K27" s="32">
        <f t="shared" si="26"/>
        <v>1039.0640517712927</v>
      </c>
      <c r="L27" s="32">
        <f t="shared" si="26"/>
        <v>2566.7036060393962</v>
      </c>
      <c r="M27" s="32">
        <f t="shared" si="26"/>
        <v>4635.2297638318505</v>
      </c>
      <c r="N27" s="32">
        <f t="shared" si="26"/>
        <v>7220.13885952073</v>
      </c>
      <c r="O27" s="32">
        <f t="shared" si="26"/>
        <v>10260.880202419225</v>
      </c>
      <c r="P27" s="32">
        <f t="shared" ref="P27:Q27" si="27">P25+O27</f>
        <v>13751.143249765082</v>
      </c>
      <c r="Q27" s="32">
        <f t="shared" si="27"/>
        <v>17523.271561409198</v>
      </c>
      <c r="R27" s="401">
        <f>R25</f>
        <v>14917.54500124416</v>
      </c>
      <c r="T27" s="52"/>
    </row>
    <row r="28" spans="1:36" x14ac:dyDescent="0.2">
      <c r="A28" s="216"/>
      <c r="B28" s="31"/>
      <c r="D28" s="328" t="s">
        <v>28</v>
      </c>
      <c r="E28" s="306">
        <f>MATCH(0,$F$27:$Q$27,1)</f>
        <v>4</v>
      </c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87"/>
    </row>
    <row r="29" spans="1:36" x14ac:dyDescent="0.2">
      <c r="A29" s="318"/>
      <c r="B29" s="319"/>
      <c r="C29" s="320"/>
      <c r="D29" s="320"/>
      <c r="E29" s="468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401"/>
    </row>
    <row r="30" spans="1:36" ht="13.5" thickBot="1" x14ac:dyDescent="0.25">
      <c r="A30" s="216" t="s">
        <v>126</v>
      </c>
      <c r="C30" s="28"/>
      <c r="D30" s="338" t="s">
        <v>105</v>
      </c>
      <c r="E30" s="305">
        <f t="shared" ref="E30:Q30" si="28">E25</f>
        <v>-18.924655040000001</v>
      </c>
      <c r="F30" s="153">
        <f t="shared" si="28"/>
        <v>-56.540765759999992</v>
      </c>
      <c r="G30" s="153">
        <f t="shared" si="28"/>
        <v>-86.296869200000003</v>
      </c>
      <c r="H30" s="153">
        <f t="shared" si="28"/>
        <v>-111.87384548135806</v>
      </c>
      <c r="I30" s="153">
        <f t="shared" si="28"/>
        <v>57.772066751792181</v>
      </c>
      <c r="J30" s="153">
        <f t="shared" si="28"/>
        <v>328.4525065578124</v>
      </c>
      <c r="K30" s="153">
        <f t="shared" si="28"/>
        <v>926.47561394304614</v>
      </c>
      <c r="L30" s="153">
        <f t="shared" si="28"/>
        <v>1527.6395542681034</v>
      </c>
      <c r="M30" s="153">
        <f t="shared" si="28"/>
        <v>2068.5261577924548</v>
      </c>
      <c r="N30" s="153">
        <f t="shared" si="28"/>
        <v>2584.9090956888795</v>
      </c>
      <c r="O30" s="153">
        <f t="shared" si="28"/>
        <v>3040.7413428984951</v>
      </c>
      <c r="P30" s="153">
        <f t="shared" si="28"/>
        <v>3490.2630473458566</v>
      </c>
      <c r="Q30" s="153">
        <f t="shared" si="28"/>
        <v>3772.1283116441145</v>
      </c>
      <c r="R30" s="483">
        <f>R25</f>
        <v>14917.54500124416</v>
      </c>
      <c r="T30" s="52"/>
    </row>
    <row r="31" spans="1:36" ht="13.5" thickTop="1" x14ac:dyDescent="0.2">
      <c r="A31" s="216"/>
      <c r="C31" s="329" t="s">
        <v>22</v>
      </c>
      <c r="D31" s="247">
        <f>Control!G45</f>
        <v>0.12</v>
      </c>
      <c r="E31" s="307">
        <v>1</v>
      </c>
      <c r="F31" s="156">
        <f t="shared" ref="F31" si="29">E31/(1+$D$31)</f>
        <v>0.89285714285714279</v>
      </c>
      <c r="G31" s="156">
        <f t="shared" ref="G31" si="30">F31/(1+$D$31)</f>
        <v>0.79719387755102022</v>
      </c>
      <c r="H31" s="156">
        <f t="shared" ref="H31" si="31">G31/(1+$D$31)</f>
        <v>0.71178024781341087</v>
      </c>
      <c r="I31" s="156">
        <f t="shared" ref="I31" si="32">H31/(1+$D$31)</f>
        <v>0.6355180784048311</v>
      </c>
      <c r="J31" s="156">
        <f t="shared" ref="J31" si="33">I31/(1+$D$31)</f>
        <v>0.56742685571859919</v>
      </c>
      <c r="K31" s="156">
        <f t="shared" ref="K31" si="34">J31/(1+$D$31)</f>
        <v>0.50663112117732068</v>
      </c>
      <c r="L31" s="156">
        <f t="shared" ref="L31" si="35">K31/(1+$D$31)</f>
        <v>0.45234921533689343</v>
      </c>
      <c r="M31" s="156">
        <f t="shared" ref="M31" si="36">L31/(1+$D$31)</f>
        <v>0.4038832279793691</v>
      </c>
      <c r="N31" s="24">
        <f t="shared" ref="N31" si="37">M31/(1+$D$31)</f>
        <v>0.36061002498157951</v>
      </c>
      <c r="O31" s="24">
        <f t="shared" ref="O31" si="38">N31/(1+$D$31)</f>
        <v>0.32197323659069599</v>
      </c>
      <c r="P31" s="156">
        <f t="shared" ref="P31" si="39">O31/(1+$D$31)</f>
        <v>0.28747610409883567</v>
      </c>
      <c r="Q31" s="156">
        <f t="shared" ref="Q31:R31" si="40">P31/(1+$D$31)</f>
        <v>0.25667509294538898</v>
      </c>
      <c r="R31" s="746">
        <f t="shared" si="40"/>
        <v>0.22917419012981158</v>
      </c>
      <c r="T31" s="52"/>
    </row>
    <row r="32" spans="1:36" ht="13.5" thickBot="1" x14ac:dyDescent="0.25">
      <c r="A32" s="216"/>
      <c r="C32" s="31" t="s">
        <v>23</v>
      </c>
      <c r="D32" s="28"/>
      <c r="E32" s="305">
        <f>E30*E31</f>
        <v>-18.924655040000001</v>
      </c>
      <c r="F32" s="153">
        <f t="shared" ref="F32:O32" si="41">F30*F31</f>
        <v>-50.482826571428561</v>
      </c>
      <c r="G32" s="153">
        <f t="shared" si="41"/>
        <v>-68.795335778061215</v>
      </c>
      <c r="H32" s="153">
        <f t="shared" si="41"/>
        <v>-79.629593460560272</v>
      </c>
      <c r="I32" s="153">
        <f t="shared" si="41"/>
        <v>36.715192847574599</v>
      </c>
      <c r="J32" s="153">
        <f t="shared" si="41"/>
        <v>186.37277304899206</v>
      </c>
      <c r="K32" s="153">
        <f t="shared" si="41"/>
        <v>469.38137903541195</v>
      </c>
      <c r="L32" s="153">
        <f t="shared" si="41"/>
        <v>691.0265536907782</v>
      </c>
      <c r="M32" s="153">
        <f t="shared" si="41"/>
        <v>835.44302176897838</v>
      </c>
      <c r="N32" s="153">
        <f t="shared" si="41"/>
        <v>932.14413357147896</v>
      </c>
      <c r="O32" s="153">
        <f t="shared" si="41"/>
        <v>979.03733180816778</v>
      </c>
      <c r="P32" s="153">
        <f t="shared" ref="P32:Q32" si="42">P30*P31</f>
        <v>1003.3672231311169</v>
      </c>
      <c r="Q32" s="153">
        <f t="shared" si="42"/>
        <v>968.21138499318636</v>
      </c>
      <c r="R32" s="398">
        <f t="shared" ref="R32" si="43">R30*R31</f>
        <v>3418.7162943851495</v>
      </c>
      <c r="T32" s="52"/>
      <c r="U32" s="18"/>
      <c r="W32" s="52"/>
    </row>
    <row r="33" spans="1:26" ht="13.5" thickTop="1" x14ac:dyDescent="0.2">
      <c r="A33" s="216"/>
      <c r="C33" s="31" t="s">
        <v>262</v>
      </c>
      <c r="D33" s="25" t="s">
        <v>243</v>
      </c>
      <c r="E33" s="484">
        <f>SUM(E32:R32)</f>
        <v>9302.5828774307847</v>
      </c>
      <c r="F33" s="737" t="s">
        <v>578</v>
      </c>
      <c r="G33" s="330"/>
      <c r="H33" s="295"/>
      <c r="J33" s="484">
        <f>SUM(E32:Q32)</f>
        <v>5883.8665830456357</v>
      </c>
      <c r="K33" s="737" t="s">
        <v>579</v>
      </c>
      <c r="L33" s="475"/>
      <c r="N33" s="290"/>
      <c r="O33" s="21"/>
      <c r="P33" s="729" t="s">
        <v>261</v>
      </c>
      <c r="Q33" s="475">
        <f>E33-J33</f>
        <v>3418.716294385149</v>
      </c>
      <c r="R33" s="470"/>
      <c r="W33" s="52"/>
      <c r="Z33" s="18"/>
    </row>
    <row r="34" spans="1:26" x14ac:dyDescent="0.2">
      <c r="A34" s="318"/>
      <c r="B34" s="21"/>
      <c r="C34" s="319" t="s">
        <v>179</v>
      </c>
      <c r="D34" s="463" t="s">
        <v>243</v>
      </c>
      <c r="E34" s="340">
        <f>NPV(D31,F30:R30)+E30</f>
        <v>9302.5828774307829</v>
      </c>
      <c r="F34" s="341" t="s">
        <v>578</v>
      </c>
      <c r="G34" s="330"/>
      <c r="H34" s="295"/>
      <c r="J34" s="340">
        <f>NPV(D31,F30:Q30)+E30</f>
        <v>5883.8665830456339</v>
      </c>
      <c r="K34" s="341" t="s">
        <v>579</v>
      </c>
      <c r="L34" s="475"/>
      <c r="N34" s="290"/>
      <c r="O34" s="21"/>
      <c r="P34" s="273" t="s">
        <v>201</v>
      </c>
      <c r="Q34" s="736">
        <f>Q33/E33</f>
        <v>0.36750183679409909</v>
      </c>
      <c r="R34" s="289"/>
    </row>
    <row r="35" spans="1:26" x14ac:dyDescent="0.2">
      <c r="A35" s="216"/>
      <c r="B35" s="31"/>
      <c r="C35" s="28"/>
      <c r="D35" s="28"/>
      <c r="E35" s="28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236"/>
      <c r="R35" s="289"/>
    </row>
    <row r="36" spans="1:26" x14ac:dyDescent="0.2">
      <c r="A36" s="337"/>
      <c r="B36" s="325"/>
      <c r="C36" s="172" t="s">
        <v>26</v>
      </c>
      <c r="D36" s="326"/>
      <c r="E36" s="336">
        <f>IRR(E30:R30)</f>
        <v>0.89626857819527994</v>
      </c>
      <c r="F36" s="131"/>
      <c r="G36" s="32"/>
      <c r="I36" s="232"/>
      <c r="J36" s="406"/>
      <c r="K36" s="406"/>
      <c r="L36" s="406"/>
      <c r="M36" s="406"/>
      <c r="N36" s="406"/>
      <c r="O36" s="406"/>
      <c r="P36" s="406"/>
      <c r="Q36" s="406"/>
      <c r="R36" s="289"/>
    </row>
    <row r="37" spans="1:26" x14ac:dyDescent="0.2">
      <c r="A37" s="318"/>
      <c r="B37" s="319"/>
      <c r="C37" s="320"/>
      <c r="D37" s="320"/>
      <c r="E37" s="320"/>
      <c r="F37" s="330"/>
      <c r="G37" s="95"/>
      <c r="H37" s="95"/>
      <c r="I37" s="95"/>
      <c r="J37" s="95"/>
      <c r="K37" s="95"/>
      <c r="L37" s="95"/>
      <c r="M37" s="330"/>
      <c r="N37" s="330"/>
      <c r="O37" s="330"/>
      <c r="P37" s="330"/>
      <c r="Q37" s="330"/>
      <c r="R37" s="295"/>
    </row>
    <row r="38" spans="1:26" x14ac:dyDescent="0.2">
      <c r="A38" s="209" t="s">
        <v>269</v>
      </c>
      <c r="B38" s="321"/>
      <c r="C38" s="322"/>
      <c r="D38" s="331"/>
      <c r="E38" s="331"/>
      <c r="F38" s="210"/>
      <c r="G38" s="332"/>
      <c r="H38" s="332"/>
      <c r="I38" s="332"/>
      <c r="J38" s="332"/>
      <c r="K38" s="332"/>
      <c r="L38" s="332"/>
      <c r="M38" s="332"/>
      <c r="N38" s="332"/>
      <c r="O38" s="332"/>
      <c r="P38" s="332"/>
      <c r="Q38" s="332"/>
      <c r="R38" s="288"/>
    </row>
    <row r="39" spans="1:26" ht="13.5" thickBot="1" x14ac:dyDescent="0.25">
      <c r="A39" s="216"/>
      <c r="B39" s="31" t="s">
        <v>101</v>
      </c>
      <c r="C39" s="28"/>
      <c r="D39" s="29"/>
      <c r="E39" s="154">
        <f>-'Lor Financials'!D44</f>
        <v>-17.193999999999999</v>
      </c>
      <c r="F39" s="154">
        <f t="shared" ref="F39:Q39" si="44">F25</f>
        <v>-56.540765759999992</v>
      </c>
      <c r="G39" s="154">
        <f t="shared" si="44"/>
        <v>-86.296869200000003</v>
      </c>
      <c r="H39" s="154">
        <f t="shared" si="44"/>
        <v>-111.87384548135806</v>
      </c>
      <c r="I39" s="154">
        <f t="shared" si="44"/>
        <v>57.772066751792181</v>
      </c>
      <c r="J39" s="154">
        <f t="shared" si="44"/>
        <v>328.4525065578124</v>
      </c>
      <c r="K39" s="154">
        <f t="shared" si="44"/>
        <v>926.47561394304614</v>
      </c>
      <c r="L39" s="154">
        <f t="shared" si="44"/>
        <v>1527.6395542681034</v>
      </c>
      <c r="M39" s="154">
        <f t="shared" si="44"/>
        <v>2068.5261577924548</v>
      </c>
      <c r="N39" s="154">
        <f t="shared" si="44"/>
        <v>2584.9090956888795</v>
      </c>
      <c r="O39" s="154">
        <f t="shared" si="44"/>
        <v>3040.7413428984951</v>
      </c>
      <c r="P39" s="154">
        <f t="shared" si="44"/>
        <v>3490.2630473458566</v>
      </c>
      <c r="Q39" s="154">
        <f t="shared" si="44"/>
        <v>3772.1283116441145</v>
      </c>
      <c r="R39" s="743">
        <f>R25</f>
        <v>14917.54500124416</v>
      </c>
    </row>
    <row r="40" spans="1:26" ht="13.5" thickTop="1" x14ac:dyDescent="0.2">
      <c r="A40" s="216"/>
      <c r="B40" s="31" t="s">
        <v>2</v>
      </c>
      <c r="C40" s="28"/>
      <c r="D40" s="247">
        <f>D31</f>
        <v>0.12</v>
      </c>
      <c r="E40" s="49">
        <f>NPV(D40,F39:R39)+E39</f>
        <v>9304.3135324707837</v>
      </c>
      <c r="F40" s="131"/>
      <c r="G40" s="23"/>
      <c r="I40" s="23"/>
      <c r="J40" s="23"/>
      <c r="K40" s="23"/>
      <c r="L40" s="23"/>
      <c r="M40" s="23"/>
      <c r="N40" s="23"/>
      <c r="O40" s="23"/>
      <c r="P40" s="23"/>
      <c r="Q40" s="23"/>
      <c r="R40" s="744"/>
    </row>
    <row r="41" spans="1:26" x14ac:dyDescent="0.2">
      <c r="A41" s="318"/>
      <c r="B41" s="319" t="s">
        <v>32</v>
      </c>
      <c r="C41" s="320"/>
      <c r="D41" s="65"/>
      <c r="E41" s="333">
        <f>IRR(E39:R39)</f>
        <v>0.90264673899575754</v>
      </c>
      <c r="F41" s="334"/>
      <c r="G41" s="334"/>
      <c r="H41" s="21"/>
      <c r="I41" s="334"/>
      <c r="J41" s="335"/>
      <c r="K41" s="335"/>
      <c r="L41" s="335"/>
      <c r="M41" s="335"/>
      <c r="N41" s="335"/>
      <c r="O41" s="335"/>
      <c r="P41" s="335"/>
      <c r="Q41" s="335"/>
      <c r="R41" s="745"/>
    </row>
    <row r="42" spans="1:26" x14ac:dyDescent="0.2">
      <c r="A42" s="6"/>
      <c r="B42" s="8"/>
      <c r="C42" s="8"/>
      <c r="D42" s="8"/>
      <c r="E42" s="8"/>
      <c r="F42" s="8"/>
      <c r="G42" s="8"/>
      <c r="H42" s="8"/>
      <c r="I42" s="8"/>
      <c r="J42" s="8"/>
      <c r="K42" s="742"/>
      <c r="L42" s="8"/>
      <c r="M42" s="8"/>
      <c r="N42" s="8"/>
      <c r="O42" s="8"/>
      <c r="P42" s="8"/>
      <c r="Q42" s="8"/>
      <c r="R42" s="8"/>
      <c r="S42" s="8"/>
    </row>
    <row r="43" spans="1:26" x14ac:dyDescent="0.2">
      <c r="A43" s="10"/>
      <c r="K43" s="130"/>
    </row>
    <row r="44" spans="1:26" x14ac:dyDescent="0.2">
      <c r="A44" s="107" t="s">
        <v>106</v>
      </c>
      <c r="B44" s="92"/>
      <c r="C44" s="108"/>
      <c r="E44" s="87"/>
      <c r="F44" s="87">
        <f t="shared" ref="F44:Q44" si="45">F6</f>
        <v>2010</v>
      </c>
      <c r="G44" s="87">
        <f t="shared" si="45"/>
        <v>2011</v>
      </c>
      <c r="H44" s="87">
        <f t="shared" si="45"/>
        <v>2012</v>
      </c>
      <c r="I44" s="87">
        <f t="shared" si="45"/>
        <v>2013</v>
      </c>
      <c r="J44" s="87">
        <f t="shared" si="45"/>
        <v>2014</v>
      </c>
      <c r="K44" s="87">
        <f t="shared" si="45"/>
        <v>2015</v>
      </c>
      <c r="L44" s="87">
        <f t="shared" si="45"/>
        <v>2016</v>
      </c>
      <c r="M44" s="87">
        <f t="shared" si="45"/>
        <v>2017</v>
      </c>
      <c r="N44" s="87">
        <f t="shared" si="45"/>
        <v>2018</v>
      </c>
      <c r="O44" s="87">
        <f t="shared" si="45"/>
        <v>2019</v>
      </c>
      <c r="P44" s="87">
        <f t="shared" si="45"/>
        <v>2020</v>
      </c>
      <c r="Q44" s="87">
        <f t="shared" si="45"/>
        <v>2021</v>
      </c>
      <c r="S44" s="87"/>
    </row>
    <row r="45" spans="1:26" x14ac:dyDescent="0.2">
      <c r="A45" s="109"/>
      <c r="B45" s="92" t="s">
        <v>16</v>
      </c>
      <c r="C45" s="92"/>
      <c r="D45" s="94" t="s">
        <v>19</v>
      </c>
      <c r="E45" s="105">
        <v>30</v>
      </c>
      <c r="F45" s="113">
        <f t="shared" ref="F45:Q45" si="46">F8/365*$E$45</f>
        <v>0</v>
      </c>
      <c r="G45" s="113">
        <f t="shared" si="46"/>
        <v>0</v>
      </c>
      <c r="H45" s="113">
        <f t="shared" si="46"/>
        <v>5.8492466936081202</v>
      </c>
      <c r="I45" s="113">
        <f t="shared" si="46"/>
        <v>36.510781835436987</v>
      </c>
      <c r="J45" s="113">
        <f t="shared" si="46"/>
        <v>85.50903790232951</v>
      </c>
      <c r="K45" s="113">
        <f t="shared" si="46"/>
        <v>152.82454763054614</v>
      </c>
      <c r="L45" s="113">
        <f t="shared" si="46"/>
        <v>204.72149907629154</v>
      </c>
      <c r="M45" s="113">
        <f t="shared" si="46"/>
        <v>251.96285282747837</v>
      </c>
      <c r="N45" s="113">
        <f t="shared" si="46"/>
        <v>298.79098795771546</v>
      </c>
      <c r="O45" s="113">
        <f t="shared" si="46"/>
        <v>340.06986532397906</v>
      </c>
      <c r="P45" s="113">
        <f t="shared" si="46"/>
        <v>382.30175025045497</v>
      </c>
      <c r="Q45" s="113">
        <f t="shared" si="46"/>
        <v>408.69986304778519</v>
      </c>
      <c r="S45" s="113"/>
    </row>
    <row r="46" spans="1:26" x14ac:dyDescent="0.2">
      <c r="A46" s="109"/>
      <c r="B46" s="92" t="s">
        <v>15</v>
      </c>
      <c r="C46" s="92"/>
      <c r="D46" s="94" t="s">
        <v>107</v>
      </c>
      <c r="E46" s="105">
        <v>3</v>
      </c>
      <c r="F46" s="113">
        <f t="shared" ref="F46:Q46" si="47">F10/12*$E$46</f>
        <v>0</v>
      </c>
      <c r="G46" s="113">
        <f t="shared" si="47"/>
        <v>0</v>
      </c>
      <c r="H46" s="113">
        <f t="shared" si="47"/>
        <v>0.82257498821681541</v>
      </c>
      <c r="I46" s="113">
        <f t="shared" si="47"/>
        <v>6.2348492957109833</v>
      </c>
      <c r="J46" s="113">
        <f t="shared" si="47"/>
        <v>19.495412860094834</v>
      </c>
      <c r="K46" s="113">
        <f t="shared" si="47"/>
        <v>24.614108824145891</v>
      </c>
      <c r="L46" s="113">
        <f t="shared" si="47"/>
        <v>33.800160145033828</v>
      </c>
      <c r="M46" s="113">
        <f t="shared" si="47"/>
        <v>42.027960487615573</v>
      </c>
      <c r="N46" s="113">
        <f t="shared" si="47"/>
        <v>49.693773263167756</v>
      </c>
      <c r="O46" s="113">
        <f t="shared" si="47"/>
        <v>56.79979581058204</v>
      </c>
      <c r="P46" s="113">
        <f t="shared" si="47"/>
        <v>63.882814184510366</v>
      </c>
      <c r="Q46" s="113">
        <f t="shared" si="47"/>
        <v>68.090159685393601</v>
      </c>
      <c r="S46" s="113"/>
    </row>
    <row r="47" spans="1:26" x14ac:dyDescent="0.2">
      <c r="A47" s="92"/>
      <c r="B47" s="92" t="s">
        <v>17</v>
      </c>
      <c r="C47" s="92"/>
      <c r="D47" s="94" t="s">
        <v>20</v>
      </c>
      <c r="E47" s="105">
        <v>30</v>
      </c>
      <c r="F47" s="114">
        <f t="shared" ref="F47:Q47" si="48">-F17/365*$E$47</f>
        <v>-4.647186226849314</v>
      </c>
      <c r="G47" s="114">
        <f t="shared" si="48"/>
        <v>-7.0928933589041101</v>
      </c>
      <c r="H47" s="114">
        <f t="shared" si="48"/>
        <v>-14.598444267744327</v>
      </c>
      <c r="I47" s="114">
        <f t="shared" si="48"/>
        <v>-28.617255865198306</v>
      </c>
      <c r="J47" s="114">
        <f t="shared" si="48"/>
        <v>-49.538219532531542</v>
      </c>
      <c r="K47" s="114">
        <f t="shared" si="48"/>
        <v>-63.998820853167054</v>
      </c>
      <c r="L47" s="114">
        <f t="shared" si="48"/>
        <v>-61.90805726716124</v>
      </c>
      <c r="M47" s="114">
        <f t="shared" si="48"/>
        <v>-60.57070698981147</v>
      </c>
      <c r="N47" s="114">
        <f t="shared" si="48"/>
        <v>-61.031297600500402</v>
      </c>
      <c r="O47" s="114">
        <f t="shared" si="48"/>
        <v>-61.269917900630396</v>
      </c>
      <c r="P47" s="114">
        <f t="shared" si="48"/>
        <v>-62.959193297689431</v>
      </c>
      <c r="Q47" s="114">
        <f t="shared" si="48"/>
        <v>-64.015117809582634</v>
      </c>
      <c r="S47" s="114"/>
    </row>
    <row r="48" spans="1:26" x14ac:dyDescent="0.2">
      <c r="A48" s="92"/>
      <c r="B48" s="110" t="s">
        <v>104</v>
      </c>
      <c r="C48" s="110"/>
      <c r="D48" s="89"/>
      <c r="E48" s="89"/>
      <c r="F48" s="115">
        <f t="shared" ref="F48:O48" si="49">F46+F45+F47</f>
        <v>-4.647186226849314</v>
      </c>
      <c r="G48" s="115">
        <f t="shared" si="49"/>
        <v>-7.0928933589041101</v>
      </c>
      <c r="H48" s="115">
        <f t="shared" si="49"/>
        <v>-7.9266225859193913</v>
      </c>
      <c r="I48" s="115">
        <f t="shared" si="49"/>
        <v>14.128375265949668</v>
      </c>
      <c r="J48" s="115">
        <f t="shared" si="49"/>
        <v>55.466231229892799</v>
      </c>
      <c r="K48" s="115">
        <f t="shared" si="49"/>
        <v>113.43983560152498</v>
      </c>
      <c r="L48" s="115">
        <f t="shared" si="49"/>
        <v>176.61360195416412</v>
      </c>
      <c r="M48" s="115">
        <f t="shared" si="49"/>
        <v>233.42010632528246</v>
      </c>
      <c r="N48" s="115">
        <f t="shared" si="49"/>
        <v>287.45346362038282</v>
      </c>
      <c r="O48" s="115">
        <f t="shared" si="49"/>
        <v>335.59974323393072</v>
      </c>
      <c r="P48" s="115">
        <f t="shared" ref="P48:Q48" si="50">P46+P45+P47</f>
        <v>383.22537113727594</v>
      </c>
      <c r="Q48" s="115">
        <f t="shared" si="50"/>
        <v>412.77490492359613</v>
      </c>
      <c r="S48" s="115"/>
    </row>
    <row r="49" spans="1:19" x14ac:dyDescent="0.2">
      <c r="A49" s="92"/>
      <c r="B49" s="110" t="s">
        <v>21</v>
      </c>
      <c r="C49" s="111"/>
      <c r="D49" s="89"/>
      <c r="E49" s="89"/>
      <c r="F49" s="115">
        <f>E48-F48</f>
        <v>4.647186226849314</v>
      </c>
      <c r="G49" s="115">
        <f>F48-G48</f>
        <v>2.4457071320547961</v>
      </c>
      <c r="H49" s="115">
        <f t="shared" ref="H49:O49" si="51">G48-H48</f>
        <v>0.83372922701528118</v>
      </c>
      <c r="I49" s="115">
        <f t="shared" si="51"/>
        <v>-22.054997851869061</v>
      </c>
      <c r="J49" s="115">
        <f t="shared" si="51"/>
        <v>-41.337855963943127</v>
      </c>
      <c r="K49" s="115">
        <f t="shared" si="51"/>
        <v>-57.973604371632177</v>
      </c>
      <c r="L49" s="115">
        <f t="shared" si="51"/>
        <v>-63.173766352639149</v>
      </c>
      <c r="M49" s="115">
        <f t="shared" si="51"/>
        <v>-56.806504371118336</v>
      </c>
      <c r="N49" s="115">
        <f t="shared" si="51"/>
        <v>-54.033357295100359</v>
      </c>
      <c r="O49" s="115">
        <f t="shared" si="51"/>
        <v>-48.146279613547904</v>
      </c>
      <c r="P49" s="115">
        <f t="shared" ref="P49:Q49" si="52">O48-P48</f>
        <v>-47.625627903345219</v>
      </c>
      <c r="Q49" s="115">
        <f t="shared" si="52"/>
        <v>-29.549533786320183</v>
      </c>
      <c r="S49" s="115"/>
    </row>
    <row r="50" spans="1:19" x14ac:dyDescent="0.2">
      <c r="D50" s="116" t="s">
        <v>170</v>
      </c>
      <c r="E50" s="116"/>
      <c r="F50" s="92"/>
      <c r="G50" s="92"/>
      <c r="H50" s="93">
        <f t="shared" ref="H50:J50" si="53">H48/H8</f>
        <v>-0.11138241561120904</v>
      </c>
      <c r="I50" s="93">
        <f t="shared" si="53"/>
        <v>3.180529873237762E-2</v>
      </c>
      <c r="J50" s="93">
        <f t="shared" si="53"/>
        <v>5.3314461630037412E-2</v>
      </c>
      <c r="K50" s="93">
        <f t="shared" ref="K50:Q50" si="54">K48/K8</f>
        <v>6.1009976792310232E-2</v>
      </c>
      <c r="L50" s="93">
        <f t="shared" si="54"/>
        <v>7.0906995735589493E-2</v>
      </c>
      <c r="M50" s="93">
        <f t="shared" si="54"/>
        <v>7.6143026653427703E-2</v>
      </c>
      <c r="N50" s="93">
        <f t="shared" si="54"/>
        <v>7.9073041124423732E-2</v>
      </c>
      <c r="O50" s="93">
        <f t="shared" si="54"/>
        <v>8.1111393135339216E-2</v>
      </c>
      <c r="P50" s="93">
        <f t="shared" si="54"/>
        <v>8.2390351834063055E-2</v>
      </c>
      <c r="Q50" s="93">
        <f t="shared" si="54"/>
        <v>8.3011294061288848E-2</v>
      </c>
      <c r="S50" s="93"/>
    </row>
    <row r="51" spans="1:19" x14ac:dyDescent="0.2">
      <c r="D51" s="116"/>
      <c r="E51" s="116"/>
      <c r="F51" s="92"/>
      <c r="G51" s="92"/>
      <c r="H51" s="92"/>
      <c r="I51" s="92"/>
      <c r="J51" s="92"/>
      <c r="K51" s="93"/>
      <c r="L51" s="93"/>
      <c r="M51" s="93"/>
      <c r="N51" s="93"/>
      <c r="O51" s="93"/>
      <c r="P51" s="93"/>
      <c r="Q51" s="93"/>
      <c r="R51" s="93"/>
      <c r="S51" s="93"/>
    </row>
    <row r="53" spans="1:19" x14ac:dyDescent="0.2">
      <c r="G53" s="18"/>
      <c r="K53" s="18"/>
    </row>
    <row r="57" spans="1:19" x14ac:dyDescent="0.2">
      <c r="D57" s="18"/>
      <c r="E57" s="18"/>
      <c r="F57" s="12"/>
    </row>
    <row r="58" spans="1:19" x14ac:dyDescent="0.2">
      <c r="F58" s="18"/>
    </row>
  </sheetData>
  <phoneticPr fontId="0" type="noConversion"/>
  <printOptions gridLines="1"/>
  <pageMargins left="0.75" right="0.75" top="1" bottom="1" header="0.5" footer="0.5"/>
  <pageSetup scale="41" orientation="landscape" horizontalDpi="300" verticalDpi="300" r:id="rId1"/>
  <headerFooter alignWithMargins="0">
    <oddFooter>&amp;L&amp;F&amp;A&amp;CPLG Copyright&amp;R&amp;D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99"/>
  <sheetViews>
    <sheetView zoomScale="80" zoomScaleNormal="80" workbookViewId="0"/>
  </sheetViews>
  <sheetFormatPr defaultRowHeight="12.75" x14ac:dyDescent="0.2"/>
  <cols>
    <col min="1" max="1" width="1.7109375" customWidth="1"/>
    <col min="2" max="2" width="2" customWidth="1"/>
    <col min="3" max="3" width="39.5703125" customWidth="1"/>
    <col min="4" max="4" width="8.28515625" customWidth="1"/>
    <col min="5" max="19" width="9.28515625" customWidth="1"/>
    <col min="20" max="20" width="7.85546875" customWidth="1"/>
    <col min="21" max="23" width="8.28515625" customWidth="1"/>
    <col min="24" max="25" width="8" customWidth="1"/>
    <col min="26" max="26" width="8.42578125" customWidth="1"/>
    <col min="27" max="27" width="7.85546875" customWidth="1"/>
  </cols>
  <sheetData>
    <row r="1" spans="1:28" s="4" customFormat="1" ht="15.75" x14ac:dyDescent="0.25">
      <c r="A1" s="121" t="s">
        <v>152</v>
      </c>
      <c r="B1" s="8"/>
      <c r="C1" s="8"/>
      <c r="D1" s="8"/>
      <c r="E1" s="8"/>
      <c r="F1" s="55">
        <v>1</v>
      </c>
      <c r="G1" s="55">
        <f>F1+1</f>
        <v>2</v>
      </c>
      <c r="H1" s="55">
        <f t="shared" ref="H1:Q1" si="0">G1+1</f>
        <v>3</v>
      </c>
      <c r="I1" s="55">
        <f t="shared" si="0"/>
        <v>4</v>
      </c>
      <c r="J1" s="55">
        <f t="shared" si="0"/>
        <v>5</v>
      </c>
      <c r="K1" s="55">
        <f t="shared" si="0"/>
        <v>6</v>
      </c>
      <c r="L1" s="55">
        <f t="shared" si="0"/>
        <v>7</v>
      </c>
      <c r="M1" s="55">
        <f t="shared" si="0"/>
        <v>8</v>
      </c>
      <c r="N1" s="55">
        <f t="shared" si="0"/>
        <v>9</v>
      </c>
      <c r="O1" s="55">
        <f t="shared" si="0"/>
        <v>10</v>
      </c>
      <c r="P1" s="55">
        <f t="shared" si="0"/>
        <v>11</v>
      </c>
      <c r="Q1" s="55">
        <f t="shared" si="0"/>
        <v>12</v>
      </c>
      <c r="R1" s="395" t="s">
        <v>6</v>
      </c>
    </row>
    <row r="2" spans="1:28" x14ac:dyDescent="0.2">
      <c r="A2" s="11"/>
      <c r="B2" s="11"/>
      <c r="C2" s="11"/>
      <c r="D2" s="870">
        <f>Control!Y2</f>
        <v>2008</v>
      </c>
      <c r="E2" s="11"/>
      <c r="F2" s="11"/>
      <c r="G2" s="11"/>
      <c r="H2" s="11"/>
      <c r="I2" s="11"/>
      <c r="J2" s="11"/>
      <c r="K2" s="11"/>
      <c r="L2" s="11"/>
      <c r="M2" s="11"/>
      <c r="N2" s="21"/>
      <c r="O2" s="21"/>
      <c r="P2" s="11"/>
      <c r="Q2" s="11"/>
      <c r="R2" s="504" t="s">
        <v>339</v>
      </c>
    </row>
    <row r="3" spans="1:28" ht="15" x14ac:dyDescent="0.25">
      <c r="A3" s="354" t="s">
        <v>112</v>
      </c>
      <c r="B3" s="355"/>
      <c r="C3" s="355"/>
      <c r="D3" s="212" t="s">
        <v>243</v>
      </c>
      <c r="E3" s="212">
        <f>D2+1</f>
        <v>2009</v>
      </c>
      <c r="F3" s="212">
        <f t="shared" ref="F3:N3" si="1">E3+1</f>
        <v>2010</v>
      </c>
      <c r="G3" s="212">
        <f t="shared" si="1"/>
        <v>2011</v>
      </c>
      <c r="H3" s="212">
        <f t="shared" si="1"/>
        <v>2012</v>
      </c>
      <c r="I3" s="212">
        <f t="shared" si="1"/>
        <v>2013</v>
      </c>
      <c r="J3" s="212">
        <f t="shared" si="1"/>
        <v>2014</v>
      </c>
      <c r="K3" s="212">
        <f t="shared" si="1"/>
        <v>2015</v>
      </c>
      <c r="L3" s="212">
        <f t="shared" si="1"/>
        <v>2016</v>
      </c>
      <c r="M3" s="212">
        <f t="shared" si="1"/>
        <v>2017</v>
      </c>
      <c r="N3" s="517">
        <f t="shared" si="1"/>
        <v>2018</v>
      </c>
      <c r="O3" s="517">
        <f>N3+1</f>
        <v>2019</v>
      </c>
      <c r="P3" s="212">
        <f>O3+1</f>
        <v>2020</v>
      </c>
      <c r="Q3" s="212">
        <f>P3+1</f>
        <v>2021</v>
      </c>
      <c r="R3" s="490">
        <f>Project!R7</f>
        <v>3</v>
      </c>
      <c r="AB3" s="11"/>
    </row>
    <row r="4" spans="1:28" x14ac:dyDescent="0.2">
      <c r="A4" s="517"/>
      <c r="B4" s="716" t="s">
        <v>650</v>
      </c>
      <c r="C4" s="517"/>
      <c r="D4" s="517"/>
      <c r="E4" s="517"/>
      <c r="F4" s="517"/>
      <c r="G4" s="517"/>
      <c r="H4" s="258">
        <f>H6+H13</f>
        <v>71.165834772232131</v>
      </c>
      <c r="I4" s="258">
        <f t="shared" ref="I4:Q4" si="2">I6+I13</f>
        <v>444.21451233115005</v>
      </c>
      <c r="J4" s="258">
        <f t="shared" si="2"/>
        <v>1040.359961145009</v>
      </c>
      <c r="K4" s="258">
        <f t="shared" si="2"/>
        <v>1859.365329504978</v>
      </c>
      <c r="L4" s="258">
        <f t="shared" si="2"/>
        <v>2490.7782387615471</v>
      </c>
      <c r="M4" s="258">
        <f t="shared" si="2"/>
        <v>3065.54804273432</v>
      </c>
      <c r="N4" s="258">
        <f t="shared" si="2"/>
        <v>3635.2903534855377</v>
      </c>
      <c r="O4" s="258">
        <f t="shared" si="2"/>
        <v>4137.5166947750786</v>
      </c>
      <c r="P4" s="258">
        <f t="shared" si="2"/>
        <v>4651.3379613805355</v>
      </c>
      <c r="Q4" s="258">
        <f t="shared" si="2"/>
        <v>4972.5150004147199</v>
      </c>
      <c r="R4" s="859">
        <f>R3*Q4</f>
        <v>14917.54500124416</v>
      </c>
      <c r="AB4" s="11"/>
    </row>
    <row r="5" spans="1:28" x14ac:dyDescent="0.2">
      <c r="A5" s="517"/>
      <c r="B5" s="517"/>
      <c r="C5" s="857" t="s">
        <v>595</v>
      </c>
      <c r="D5" s="517"/>
      <c r="E5" s="517"/>
      <c r="F5" s="517"/>
      <c r="G5" s="517"/>
      <c r="H5" s="517"/>
      <c r="I5" s="517"/>
      <c r="J5" s="517"/>
      <c r="K5" s="517"/>
      <c r="L5" s="517"/>
      <c r="M5" s="517"/>
      <c r="N5" s="517"/>
      <c r="O5" s="517"/>
      <c r="P5" s="517"/>
      <c r="Q5" s="517"/>
      <c r="R5" s="474"/>
      <c r="AB5" s="11"/>
    </row>
    <row r="6" spans="1:28" x14ac:dyDescent="0.2">
      <c r="A6" s="213"/>
      <c r="B6" s="6" t="s">
        <v>5</v>
      </c>
      <c r="D6" s="55"/>
      <c r="E6" s="67"/>
      <c r="F6" s="67"/>
      <c r="G6" s="67"/>
      <c r="H6" s="67">
        <f>Sales!J38</f>
        <v>71.165834772232131</v>
      </c>
      <c r="I6" s="67">
        <f>Sales!K38</f>
        <v>390.65902451534782</v>
      </c>
      <c r="J6" s="67">
        <f>Sales!L38</f>
        <v>676.77394983104773</v>
      </c>
      <c r="K6" s="67">
        <f>Sales!M38</f>
        <v>1145.6168009775779</v>
      </c>
      <c r="L6" s="67">
        <f>Sales!N38</f>
        <v>1475.4926556377777</v>
      </c>
      <c r="M6" s="67">
        <f>Sales!O38</f>
        <v>1785.3691777183569</v>
      </c>
      <c r="N6" s="67">
        <f>Sales!P38</f>
        <v>2127.5685778731722</v>
      </c>
      <c r="O6" s="67">
        <f>Sales!Q38</f>
        <v>2404.2916302238755</v>
      </c>
      <c r="P6" s="67">
        <f>Sales!R38</f>
        <v>2700.7771310419894</v>
      </c>
      <c r="Q6" s="67">
        <f>Sales!S38</f>
        <v>2901.8369420449253</v>
      </c>
      <c r="R6" s="474"/>
    </row>
    <row r="7" spans="1:28" x14ac:dyDescent="0.2">
      <c r="A7" s="213"/>
      <c r="B7" s="11"/>
      <c r="C7" s="20" t="s">
        <v>42</v>
      </c>
      <c r="D7" s="9"/>
      <c r="E7" s="54">
        <f>COG!F60</f>
        <v>0</v>
      </c>
      <c r="F7" s="54">
        <f>COG!G60</f>
        <v>0</v>
      </c>
      <c r="G7" s="54">
        <f>COG!H60</f>
        <v>0</v>
      </c>
      <c r="H7" s="54">
        <f>COG!I60</f>
        <v>3.2902999528672612</v>
      </c>
      <c r="I7" s="54">
        <f>COG!J60</f>
        <v>18.06183225509719</v>
      </c>
      <c r="J7" s="54">
        <f>COG!K60</f>
        <v>31.290145086582289</v>
      </c>
      <c r="K7" s="54">
        <f>COG!L60</f>
        <v>36.05797037435827</v>
      </c>
      <c r="L7" s="54">
        <f>COG!M60</f>
        <v>46.440721207275224</v>
      </c>
      <c r="M7" s="54">
        <f>COG!N60</f>
        <v>56.193998606276459</v>
      </c>
      <c r="N7" s="54">
        <f>COG!O60</f>
        <v>66.964629608175485</v>
      </c>
      <c r="O7" s="54">
        <f>COG!P60</f>
        <v>75.674410762789449</v>
      </c>
      <c r="P7" s="54">
        <f>COG!Q60</f>
        <v>85.006209489731816</v>
      </c>
      <c r="Q7" s="54">
        <f>COG!R60</f>
        <v>91.334511154329903</v>
      </c>
      <c r="R7" s="435"/>
    </row>
    <row r="8" spans="1:28" x14ac:dyDescent="0.2">
      <c r="A8" s="213"/>
      <c r="B8" s="8"/>
      <c r="C8" s="8" t="s">
        <v>8</v>
      </c>
      <c r="D8" s="73">
        <v>0.03</v>
      </c>
      <c r="E8" s="779">
        <f>$D$8*E6</f>
        <v>0</v>
      </c>
      <c r="F8" s="779">
        <f t="shared" ref="F8:Q8" si="3">$D$8*F6</f>
        <v>0</v>
      </c>
      <c r="G8" s="779">
        <f t="shared" si="3"/>
        <v>0</v>
      </c>
      <c r="H8" s="779">
        <f t="shared" si="3"/>
        <v>2.1349750431669641</v>
      </c>
      <c r="I8" s="779">
        <f t="shared" si="3"/>
        <v>11.719770735460434</v>
      </c>
      <c r="J8" s="779">
        <f t="shared" si="3"/>
        <v>20.303218494931432</v>
      </c>
      <c r="K8" s="779">
        <f t="shared" si="3"/>
        <v>34.368504029327333</v>
      </c>
      <c r="L8" s="779">
        <f t="shared" si="3"/>
        <v>44.264779669133333</v>
      </c>
      <c r="M8" s="779">
        <f t="shared" si="3"/>
        <v>53.561075331550704</v>
      </c>
      <c r="N8" s="779">
        <f t="shared" si="3"/>
        <v>63.827057336195168</v>
      </c>
      <c r="O8" s="779">
        <f t="shared" si="3"/>
        <v>72.128748906716268</v>
      </c>
      <c r="P8" s="779">
        <f t="shared" si="3"/>
        <v>81.023313931259679</v>
      </c>
      <c r="Q8" s="768">
        <f t="shared" si="3"/>
        <v>87.055108261347755</v>
      </c>
      <c r="R8" s="780"/>
      <c r="S8" s="284"/>
    </row>
    <row r="9" spans="1:28" x14ac:dyDescent="0.2">
      <c r="A9" s="213"/>
      <c r="B9" s="6" t="s">
        <v>29</v>
      </c>
      <c r="C9" s="8"/>
      <c r="D9" s="8"/>
      <c r="E9" s="56">
        <f t="shared" ref="E9:Q9" si="4">E6-SUM(E7:E8)</f>
        <v>0</v>
      </c>
      <c r="F9" s="56">
        <f t="shared" si="4"/>
        <v>0</v>
      </c>
      <c r="G9" s="56">
        <f t="shared" si="4"/>
        <v>0</v>
      </c>
      <c r="H9" s="56">
        <f t="shared" si="4"/>
        <v>65.740559776197898</v>
      </c>
      <c r="I9" s="56">
        <f t="shared" si="4"/>
        <v>360.87742152479018</v>
      </c>
      <c r="J9" s="56">
        <f t="shared" si="4"/>
        <v>625.18058624953403</v>
      </c>
      <c r="K9" s="56">
        <f t="shared" si="4"/>
        <v>1075.1903265738922</v>
      </c>
      <c r="L9" s="56">
        <f t="shared" si="4"/>
        <v>1384.787154761369</v>
      </c>
      <c r="M9" s="56">
        <f t="shared" si="4"/>
        <v>1675.6141037805298</v>
      </c>
      <c r="N9" s="56">
        <f t="shared" si="4"/>
        <v>1996.7768909288015</v>
      </c>
      <c r="O9" s="56">
        <f t="shared" si="4"/>
        <v>2256.48847055437</v>
      </c>
      <c r="P9" s="56">
        <f t="shared" si="4"/>
        <v>2534.7476076209978</v>
      </c>
      <c r="Q9" s="56">
        <f t="shared" si="4"/>
        <v>2723.4473226292475</v>
      </c>
      <c r="R9" s="491"/>
    </row>
    <row r="10" spans="1:28" x14ac:dyDescent="0.2">
      <c r="A10" s="213"/>
      <c r="B10" s="6"/>
      <c r="C10" s="28" t="s">
        <v>109</v>
      </c>
      <c r="D10" s="11"/>
      <c r="E10" s="765">
        <f>'S&amp;M'!E55</f>
        <v>0</v>
      </c>
      <c r="F10" s="765">
        <f>'S&amp;M'!F55</f>
        <v>0</v>
      </c>
      <c r="G10" s="765">
        <f>'S&amp;M'!G55</f>
        <v>0</v>
      </c>
      <c r="H10" s="765">
        <f>'S&amp;M'!H55</f>
        <v>54.666666666666671</v>
      </c>
      <c r="I10" s="765">
        <f>'S&amp;M'!I55</f>
        <v>142.13333333333335</v>
      </c>
      <c r="J10" s="765">
        <f>'S&amp;M'!J55</f>
        <v>235.06666666666669</v>
      </c>
      <c r="K10" s="765">
        <f>'S&amp;M'!K55</f>
        <v>262.40000000000003</v>
      </c>
      <c r="L10" s="765">
        <f>'S&amp;M'!L55</f>
        <v>262.40000000000003</v>
      </c>
      <c r="M10" s="765">
        <f>'S&amp;M'!M55</f>
        <v>262.40000000000003</v>
      </c>
      <c r="N10" s="765">
        <f>'S&amp;M'!N55</f>
        <v>262.40000000000003</v>
      </c>
      <c r="O10" s="765">
        <f>'S&amp;M'!O55</f>
        <v>262.40000000000003</v>
      </c>
      <c r="P10" s="765">
        <f>'S&amp;M'!P55</f>
        <v>262.40000000000003</v>
      </c>
      <c r="Q10" s="766">
        <f>'S&amp;M'!Q55</f>
        <v>262.40000000000003</v>
      </c>
      <c r="R10" s="491"/>
    </row>
    <row r="11" spans="1:28" x14ac:dyDescent="0.2">
      <c r="A11" s="213"/>
      <c r="B11" s="31" t="s">
        <v>587</v>
      </c>
      <c r="C11" s="1"/>
      <c r="D11" s="11"/>
      <c r="E11" s="57">
        <f t="shared" ref="E11:Q11" si="5">E9-E10</f>
        <v>0</v>
      </c>
      <c r="F11" s="57">
        <f t="shared" si="5"/>
        <v>0</v>
      </c>
      <c r="G11" s="57">
        <f t="shared" si="5"/>
        <v>0</v>
      </c>
      <c r="H11" s="57">
        <f t="shared" si="5"/>
        <v>11.073893109531227</v>
      </c>
      <c r="I11" s="57">
        <f t="shared" si="5"/>
        <v>218.74408819145683</v>
      </c>
      <c r="J11" s="57">
        <f t="shared" si="5"/>
        <v>390.11391958286731</v>
      </c>
      <c r="K11" s="57">
        <f t="shared" si="5"/>
        <v>812.79032657389212</v>
      </c>
      <c r="L11" s="57">
        <f t="shared" si="5"/>
        <v>1122.3871547613689</v>
      </c>
      <c r="M11" s="57">
        <f t="shared" si="5"/>
        <v>1413.2141037805297</v>
      </c>
      <c r="N11" s="57">
        <f t="shared" si="5"/>
        <v>1734.3768909288015</v>
      </c>
      <c r="O11" s="57">
        <f t="shared" si="5"/>
        <v>1994.0884705543699</v>
      </c>
      <c r="P11" s="57">
        <f t="shared" si="5"/>
        <v>2272.3476076209977</v>
      </c>
      <c r="Q11" s="57">
        <f t="shared" si="5"/>
        <v>2461.0473226292474</v>
      </c>
      <c r="R11" s="491"/>
    </row>
    <row r="12" spans="1:28" x14ac:dyDescent="0.2">
      <c r="A12" s="213"/>
      <c r="B12" s="31"/>
      <c r="C12" s="857" t="s">
        <v>596</v>
      </c>
      <c r="D12" s="11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491"/>
    </row>
    <row r="13" spans="1:28" x14ac:dyDescent="0.2">
      <c r="A13" s="213"/>
      <c r="B13" s="6" t="s">
        <v>5</v>
      </c>
      <c r="D13" s="8"/>
      <c r="E13" s="56"/>
      <c r="F13" s="56"/>
      <c r="G13" s="56"/>
      <c r="H13" s="767">
        <f>Sales!J39</f>
        <v>0</v>
      </c>
      <c r="I13" s="767">
        <f>Sales!K39</f>
        <v>53.555487815802238</v>
      </c>
      <c r="J13" s="767">
        <f>Sales!L39</f>
        <v>363.58601131396142</v>
      </c>
      <c r="K13" s="767">
        <f>Sales!M39</f>
        <v>713.74852852740025</v>
      </c>
      <c r="L13" s="767">
        <f>Sales!N39</f>
        <v>1015.2855831237696</v>
      </c>
      <c r="M13" s="767">
        <f>Sales!O39</f>
        <v>1280.1788650159629</v>
      </c>
      <c r="N13" s="767">
        <f>Sales!P39</f>
        <v>1507.7217756123653</v>
      </c>
      <c r="O13" s="767">
        <f>Sales!Q39</f>
        <v>1733.2250645512029</v>
      </c>
      <c r="P13" s="767">
        <f>Sales!R39</f>
        <v>1950.5608303385463</v>
      </c>
      <c r="Q13" s="767">
        <f>Sales!S39</f>
        <v>2070.6780583697946</v>
      </c>
      <c r="R13" s="491"/>
    </row>
    <row r="14" spans="1:28" x14ac:dyDescent="0.2">
      <c r="A14" s="213"/>
      <c r="B14" s="11"/>
      <c r="C14" s="20" t="s">
        <v>42</v>
      </c>
      <c r="D14" s="8"/>
      <c r="E14" s="56"/>
      <c r="F14" s="56"/>
      <c r="G14" s="56"/>
      <c r="H14" s="454">
        <f>COG!I61</f>
        <v>0</v>
      </c>
      <c r="I14" s="454">
        <f>COG!J61</f>
        <v>6.8775649277467421</v>
      </c>
      <c r="J14" s="454">
        <f>COG!K61</f>
        <v>46.691506353797038</v>
      </c>
      <c r="K14" s="454">
        <f>COG!L61</f>
        <v>62.398464922225294</v>
      </c>
      <c r="L14" s="454">
        <f>COG!M61</f>
        <v>88.759919372860111</v>
      </c>
      <c r="M14" s="454">
        <f>COG!N61</f>
        <v>111.91784334418584</v>
      </c>
      <c r="N14" s="454">
        <f>COG!O61</f>
        <v>131.81046344449555</v>
      </c>
      <c r="O14" s="454">
        <f>COG!P61</f>
        <v>151.52477247953868</v>
      </c>
      <c r="P14" s="454">
        <f>COG!Q61</f>
        <v>170.52504724830965</v>
      </c>
      <c r="Q14" s="454">
        <f>COG!R61</f>
        <v>181.0261275872445</v>
      </c>
      <c r="R14" s="491"/>
    </row>
    <row r="15" spans="1:28" x14ac:dyDescent="0.2">
      <c r="A15" s="213"/>
      <c r="B15" s="8"/>
      <c r="C15" s="8" t="s">
        <v>8</v>
      </c>
      <c r="D15" s="73">
        <v>0.03</v>
      </c>
      <c r="E15" s="779">
        <f>$D$8*E13</f>
        <v>0</v>
      </c>
      <c r="F15" s="779">
        <f t="shared" ref="F15:Q15" si="6">$D$8*F13</f>
        <v>0</v>
      </c>
      <c r="G15" s="779">
        <f t="shared" si="6"/>
        <v>0</v>
      </c>
      <c r="H15" s="779">
        <f t="shared" si="6"/>
        <v>0</v>
      </c>
      <c r="I15" s="779">
        <f t="shared" si="6"/>
        <v>1.6066646344740672</v>
      </c>
      <c r="J15" s="779">
        <f t="shared" si="6"/>
        <v>10.907580339418843</v>
      </c>
      <c r="K15" s="779">
        <f t="shared" si="6"/>
        <v>21.412455855822007</v>
      </c>
      <c r="L15" s="779">
        <f t="shared" si="6"/>
        <v>30.458567493713087</v>
      </c>
      <c r="M15" s="779">
        <f t="shared" si="6"/>
        <v>38.405365950478881</v>
      </c>
      <c r="N15" s="779">
        <f t="shared" si="6"/>
        <v>45.231653268370955</v>
      </c>
      <c r="O15" s="779">
        <f t="shared" si="6"/>
        <v>51.996751936536086</v>
      </c>
      <c r="P15" s="779">
        <f t="shared" si="6"/>
        <v>58.516824910156387</v>
      </c>
      <c r="Q15" s="768">
        <f t="shared" si="6"/>
        <v>62.120341751093832</v>
      </c>
      <c r="R15" s="491"/>
    </row>
    <row r="16" spans="1:28" x14ac:dyDescent="0.2">
      <c r="A16" s="213"/>
      <c r="B16" s="6" t="s">
        <v>29</v>
      </c>
      <c r="C16" s="8"/>
      <c r="D16" s="8"/>
      <c r="E16" s="56">
        <f t="shared" ref="E16:Q16" si="7">E13-SUM(E14:E15)</f>
        <v>0</v>
      </c>
      <c r="F16" s="56">
        <f t="shared" si="7"/>
        <v>0</v>
      </c>
      <c r="G16" s="56">
        <f t="shared" si="7"/>
        <v>0</v>
      </c>
      <c r="H16" s="56">
        <f t="shared" si="7"/>
        <v>0</v>
      </c>
      <c r="I16" s="56">
        <f t="shared" si="7"/>
        <v>45.071258253581426</v>
      </c>
      <c r="J16" s="56">
        <f t="shared" si="7"/>
        <v>305.98692462074553</v>
      </c>
      <c r="K16" s="56">
        <f t="shared" si="7"/>
        <v>629.93760774935299</v>
      </c>
      <c r="L16" s="56">
        <f t="shared" si="7"/>
        <v>896.06709625719634</v>
      </c>
      <c r="M16" s="56">
        <f t="shared" si="7"/>
        <v>1129.8556557212983</v>
      </c>
      <c r="N16" s="56">
        <f t="shared" si="7"/>
        <v>1330.6796588994987</v>
      </c>
      <c r="O16" s="56">
        <f t="shared" si="7"/>
        <v>1529.7035401351282</v>
      </c>
      <c r="P16" s="56">
        <f t="shared" si="7"/>
        <v>1721.5189581800803</v>
      </c>
      <c r="Q16" s="56">
        <f t="shared" si="7"/>
        <v>1827.5315890314562</v>
      </c>
      <c r="R16" s="491"/>
    </row>
    <row r="17" spans="1:18" x14ac:dyDescent="0.2">
      <c r="A17" s="213"/>
      <c r="B17" s="6"/>
      <c r="C17" s="28" t="s">
        <v>109</v>
      </c>
      <c r="D17" s="11"/>
      <c r="E17" s="765">
        <f>'S&amp;M'!E57</f>
        <v>0</v>
      </c>
      <c r="F17" s="765">
        <f>'S&amp;M'!F57</f>
        <v>0</v>
      </c>
      <c r="G17" s="765">
        <f>'S&amp;M'!G57</f>
        <v>0</v>
      </c>
      <c r="H17" s="765">
        <f>'S&amp;M'!H57</f>
        <v>0</v>
      </c>
      <c r="I17" s="765">
        <f>'S&amp;M'!I57</f>
        <v>44.5625</v>
      </c>
      <c r="J17" s="765">
        <f>'S&amp;M'!J57</f>
        <v>142.6</v>
      </c>
      <c r="K17" s="765">
        <f>'S&amp;M'!K57</f>
        <v>258.46249999999998</v>
      </c>
      <c r="L17" s="765">
        <f>'S&amp;M'!L57</f>
        <v>258.46249999999998</v>
      </c>
      <c r="M17" s="765">
        <f>'S&amp;M'!M57</f>
        <v>249.54999999999998</v>
      </c>
      <c r="N17" s="765">
        <f>'S&amp;M'!N57</f>
        <v>249.54999999999998</v>
      </c>
      <c r="O17" s="765">
        <f>'S&amp;M'!O57</f>
        <v>249.54999999999998</v>
      </c>
      <c r="P17" s="765">
        <f>'S&amp;M'!P57</f>
        <v>249.54999999999998</v>
      </c>
      <c r="Q17" s="765">
        <f>'S&amp;M'!Q57</f>
        <v>249.54999999999998</v>
      </c>
      <c r="R17" s="491"/>
    </row>
    <row r="18" spans="1:18" x14ac:dyDescent="0.2">
      <c r="A18" s="213"/>
      <c r="B18" s="31" t="s">
        <v>588</v>
      </c>
      <c r="C18" s="1"/>
      <c r="D18" s="11"/>
      <c r="E18" s="57">
        <f>E16-E17</f>
        <v>0</v>
      </c>
      <c r="F18" s="57">
        <f t="shared" ref="F18" si="8">F16-F17</f>
        <v>0</v>
      </c>
      <c r="G18" s="57">
        <f t="shared" ref="G18" si="9">G16-G17</f>
        <v>0</v>
      </c>
      <c r="H18" s="57">
        <f t="shared" ref="H18" si="10">H16-H17</f>
        <v>0</v>
      </c>
      <c r="I18" s="57">
        <f t="shared" ref="I18" si="11">I16-I17</f>
        <v>0.50875825358142635</v>
      </c>
      <c r="J18" s="57">
        <f t="shared" ref="J18" si="12">J16-J17</f>
        <v>163.38692462074553</v>
      </c>
      <c r="K18" s="57">
        <f t="shared" ref="K18" si="13">K16-K17</f>
        <v>371.47510774935301</v>
      </c>
      <c r="L18" s="57">
        <f t="shared" ref="L18" si="14">L16-L17</f>
        <v>637.60459625719636</v>
      </c>
      <c r="M18" s="57">
        <f t="shared" ref="M18" si="15">M16-M17</f>
        <v>880.30565572129831</v>
      </c>
      <c r="N18" s="57">
        <f t="shared" ref="N18" si="16">N16-N17</f>
        <v>1081.1296588994987</v>
      </c>
      <c r="O18" s="57">
        <f t="shared" ref="O18" si="17">O16-O17</f>
        <v>1280.1535401351282</v>
      </c>
      <c r="P18" s="57">
        <f t="shared" ref="P18" si="18">P16-P17</f>
        <v>1471.9689581800803</v>
      </c>
      <c r="Q18" s="57">
        <f t="shared" ref="Q18" si="19">Q16-Q17</f>
        <v>1577.9815890314562</v>
      </c>
      <c r="R18" s="491"/>
    </row>
    <row r="19" spans="1:18" x14ac:dyDescent="0.2">
      <c r="A19" s="213"/>
      <c r="B19" s="6"/>
      <c r="C19" s="28" t="s">
        <v>45</v>
      </c>
      <c r="D19" s="58"/>
      <c r="E19" s="57">
        <f>'R&amp;D'!I37</f>
        <v>16.474655040000002</v>
      </c>
      <c r="F19" s="57">
        <f>'R&amp;D'!J37</f>
        <v>53.840765759999996</v>
      </c>
      <c r="G19" s="57">
        <f>'R&amp;D'!K37</f>
        <v>82.946869199999995</v>
      </c>
      <c r="H19" s="57">
        <f>'R&amp;D'!L37</f>
        <v>105.0694652</v>
      </c>
      <c r="I19" s="57">
        <f>'R&amp;D'!M37</f>
        <v>110.82752920000001</v>
      </c>
      <c r="J19" s="57">
        <f>'R&amp;D'!N37</f>
        <v>132.6990792</v>
      </c>
      <c r="K19" s="57">
        <f>'R&amp;D'!O37</f>
        <v>128.5045772</v>
      </c>
      <c r="L19" s="57">
        <f>'R&amp;D'!P37</f>
        <v>83.266347199999998</v>
      </c>
      <c r="M19" s="57">
        <f>'R&amp;D'!Q37</f>
        <v>52.519840000000002</v>
      </c>
      <c r="N19" s="57">
        <f>'R&amp;D'!R37</f>
        <v>36.259920000000001</v>
      </c>
      <c r="O19" s="57">
        <f>'R&amp;D'!S37</f>
        <v>20</v>
      </c>
      <c r="P19" s="57">
        <f>'R&amp;D'!T37</f>
        <v>20</v>
      </c>
      <c r="Q19" s="57">
        <f>'R&amp;D'!U37</f>
        <v>20</v>
      </c>
      <c r="R19" s="491"/>
    </row>
    <row r="20" spans="1:18" x14ac:dyDescent="0.2">
      <c r="A20" s="213"/>
      <c r="B20" s="6"/>
      <c r="C20" s="423" t="s">
        <v>589</v>
      </c>
      <c r="D20" s="73">
        <v>0</v>
      </c>
      <c r="E20" s="21"/>
      <c r="F20" s="21"/>
      <c r="G20" s="21"/>
      <c r="H20" s="165">
        <f t="shared" ref="H20:Q20" si="20">$D$20*(H13+H6)</f>
        <v>0</v>
      </c>
      <c r="I20" s="165">
        <f t="shared" si="20"/>
        <v>0</v>
      </c>
      <c r="J20" s="165">
        <f t="shared" si="20"/>
        <v>0</v>
      </c>
      <c r="K20" s="165">
        <f t="shared" si="20"/>
        <v>0</v>
      </c>
      <c r="L20" s="165">
        <f t="shared" si="20"/>
        <v>0</v>
      </c>
      <c r="M20" s="165">
        <f t="shared" si="20"/>
        <v>0</v>
      </c>
      <c r="N20" s="165">
        <f t="shared" si="20"/>
        <v>0</v>
      </c>
      <c r="O20" s="165">
        <f t="shared" si="20"/>
        <v>0</v>
      </c>
      <c r="P20" s="165">
        <f t="shared" si="20"/>
        <v>0</v>
      </c>
      <c r="Q20" s="165">
        <f t="shared" si="20"/>
        <v>0</v>
      </c>
      <c r="R20" s="491"/>
    </row>
    <row r="21" spans="1:18" x14ac:dyDescent="0.2">
      <c r="A21" s="213"/>
      <c r="B21" s="6" t="s">
        <v>110</v>
      </c>
      <c r="C21" s="8"/>
      <c r="D21" s="55"/>
      <c r="E21" s="35">
        <f>E11+E18-E19-E20</f>
        <v>-16.474655040000002</v>
      </c>
      <c r="F21" s="35">
        <f t="shared" ref="F21:Q21" si="21">F11+F18-F19-F20</f>
        <v>-53.840765759999996</v>
      </c>
      <c r="G21" s="35">
        <f t="shared" si="21"/>
        <v>-82.946869199999995</v>
      </c>
      <c r="H21" s="35">
        <f t="shared" si="21"/>
        <v>-93.995572090468769</v>
      </c>
      <c r="I21" s="35">
        <f t="shared" si="21"/>
        <v>108.42531724503823</v>
      </c>
      <c r="J21" s="35">
        <f t="shared" si="21"/>
        <v>420.80176500361279</v>
      </c>
      <c r="K21" s="35">
        <f t="shared" si="21"/>
        <v>1055.7608571232452</v>
      </c>
      <c r="L21" s="35">
        <f t="shared" si="21"/>
        <v>1676.7254038185654</v>
      </c>
      <c r="M21" s="35">
        <f t="shared" si="21"/>
        <v>2240.9999195018281</v>
      </c>
      <c r="N21" s="35">
        <f t="shared" si="21"/>
        <v>2779.2466298283002</v>
      </c>
      <c r="O21" s="35">
        <f t="shared" si="21"/>
        <v>3254.2420106894979</v>
      </c>
      <c r="P21" s="35">
        <f t="shared" si="21"/>
        <v>3724.316565801078</v>
      </c>
      <c r="Q21" s="35">
        <f t="shared" si="21"/>
        <v>4019.0289116607037</v>
      </c>
      <c r="R21" s="493">
        <f>R4</f>
        <v>14917.54500124416</v>
      </c>
    </row>
    <row r="22" spans="1:18" ht="15" customHeight="1" x14ac:dyDescent="0.2">
      <c r="A22" s="213"/>
      <c r="B22" s="6"/>
      <c r="C22" s="8" t="s">
        <v>0</v>
      </c>
      <c r="D22" s="127"/>
      <c r="E22" s="512">
        <f>Control!M40</f>
        <v>150</v>
      </c>
      <c r="F22" s="513">
        <f>Control!N40</f>
        <v>35</v>
      </c>
      <c r="G22" s="513">
        <f>Control!O40</f>
        <v>0</v>
      </c>
      <c r="H22" s="513">
        <f>Control!P40</f>
        <v>55</v>
      </c>
      <c r="I22" s="513">
        <f>Control!Q40</f>
        <v>45</v>
      </c>
      <c r="J22" s="513">
        <f>Control!R40</f>
        <v>325</v>
      </c>
      <c r="K22" s="513">
        <f>Control!S40</f>
        <v>175</v>
      </c>
      <c r="L22" s="513">
        <f>Control!T40</f>
        <v>0</v>
      </c>
      <c r="M22" s="513">
        <f>Control!U40</f>
        <v>0</v>
      </c>
      <c r="N22" s="513">
        <f>Control!V40</f>
        <v>0</v>
      </c>
      <c r="O22" s="513">
        <f>Control!W40</f>
        <v>0</v>
      </c>
      <c r="P22" s="513">
        <f>Control!X40</f>
        <v>0</v>
      </c>
      <c r="Q22" s="513">
        <f>Control!Y40</f>
        <v>0</v>
      </c>
      <c r="R22" s="494"/>
    </row>
    <row r="23" spans="1:18" ht="15" customHeight="1" x14ac:dyDescent="0.2">
      <c r="A23" s="213"/>
      <c r="B23" s="6"/>
      <c r="C23" s="28" t="s">
        <v>108</v>
      </c>
      <c r="D23" s="127"/>
      <c r="E23" s="57"/>
      <c r="F23" s="57"/>
      <c r="G23" s="57"/>
      <c r="H23" s="57">
        <f t="shared" ref="H23:Q23" si="22">H71</f>
        <v>7.1165834772232133</v>
      </c>
      <c r="I23" s="57">
        <f t="shared" si="22"/>
        <v>45.305741479738003</v>
      </c>
      <c r="J23" s="57">
        <f t="shared" si="22"/>
        <v>121.65039456030127</v>
      </c>
      <c r="K23" s="57">
        <f t="shared" si="22"/>
        <v>185.49845272079648</v>
      </c>
      <c r="L23" s="57">
        <f t="shared" si="22"/>
        <v>286.52451820184751</v>
      </c>
      <c r="M23" s="57">
        <f t="shared" si="22"/>
        <v>378.4876868374912</v>
      </c>
      <c r="N23" s="57">
        <f t="shared" si="22"/>
        <v>469.64645655768607</v>
      </c>
      <c r="O23" s="57">
        <f t="shared" si="22"/>
        <v>550.00267116401255</v>
      </c>
      <c r="P23" s="57">
        <f t="shared" si="22"/>
        <v>632.21407382088569</v>
      </c>
      <c r="Q23" s="57">
        <f t="shared" si="22"/>
        <v>683.60240006635524</v>
      </c>
      <c r="R23" s="492"/>
    </row>
    <row r="24" spans="1:18" ht="15" customHeight="1" x14ac:dyDescent="0.2">
      <c r="A24" s="213"/>
      <c r="B24" s="6"/>
      <c r="C24" s="516" t="s">
        <v>586</v>
      </c>
      <c r="D24" s="127"/>
      <c r="E24" s="57"/>
      <c r="F24" s="57"/>
      <c r="G24" s="57"/>
      <c r="H24" s="57">
        <f>'S&amp;M'!H77</f>
        <v>15</v>
      </c>
      <c r="I24" s="57">
        <f>'S&amp;M'!I77</f>
        <v>39</v>
      </c>
      <c r="J24" s="57">
        <f>'S&amp;M'!J77</f>
        <v>64.5</v>
      </c>
      <c r="K24" s="57">
        <f>'S&amp;M'!K77</f>
        <v>72</v>
      </c>
      <c r="L24" s="57">
        <f>'S&amp;M'!L77</f>
        <v>72</v>
      </c>
      <c r="M24" s="57">
        <f>'S&amp;M'!M77</f>
        <v>72</v>
      </c>
      <c r="N24" s="57">
        <f>'S&amp;M'!N77</f>
        <v>72</v>
      </c>
      <c r="O24" s="57">
        <f>'S&amp;M'!O77</f>
        <v>72</v>
      </c>
      <c r="P24" s="57">
        <f>'S&amp;M'!P77</f>
        <v>72</v>
      </c>
      <c r="Q24" s="57">
        <f>'S&amp;M'!Q77</f>
        <v>72</v>
      </c>
      <c r="R24" s="492"/>
    </row>
    <row r="25" spans="1:18" ht="15" customHeight="1" x14ac:dyDescent="0.2">
      <c r="A25" s="213"/>
      <c r="B25" s="6"/>
      <c r="C25" s="516" t="s">
        <v>585</v>
      </c>
      <c r="D25" s="728">
        <f>Control!I16</f>
        <v>0.5</v>
      </c>
      <c r="E25" s="57"/>
      <c r="F25" s="57"/>
      <c r="G25" s="57"/>
      <c r="H25" s="57">
        <f>$D$25*H11</f>
        <v>5.5369465547656134</v>
      </c>
      <c r="I25" s="57">
        <f t="shared" ref="I25:Q25" si="23">$D$25*I11</f>
        <v>109.37204409572841</v>
      </c>
      <c r="J25" s="57">
        <f t="shared" si="23"/>
        <v>195.05695979143366</v>
      </c>
      <c r="K25" s="57">
        <f t="shared" si="23"/>
        <v>406.39516328694606</v>
      </c>
      <c r="L25" s="57">
        <f t="shared" si="23"/>
        <v>561.19357738068447</v>
      </c>
      <c r="M25" s="57">
        <f t="shared" si="23"/>
        <v>706.60705189026487</v>
      </c>
      <c r="N25" s="57">
        <f t="shared" si="23"/>
        <v>867.18844546440073</v>
      </c>
      <c r="O25" s="57">
        <f t="shared" si="23"/>
        <v>997.04423527718495</v>
      </c>
      <c r="P25" s="57">
        <f t="shared" si="23"/>
        <v>1136.1738038104988</v>
      </c>
      <c r="Q25" s="57">
        <f t="shared" si="23"/>
        <v>1230.5236613146237</v>
      </c>
      <c r="R25" s="781"/>
    </row>
    <row r="26" spans="1:18" ht="15" customHeight="1" x14ac:dyDescent="0.2">
      <c r="A26" s="213"/>
      <c r="B26" s="6" t="s">
        <v>121</v>
      </c>
      <c r="C26" s="6"/>
      <c r="D26" s="55"/>
      <c r="E26" s="190">
        <f>E21-SUM(E22:E25)</f>
        <v>-166.47465504000002</v>
      </c>
      <c r="F26" s="190">
        <f t="shared" ref="F26:Q26" si="24">F21-SUM(F22:F25)</f>
        <v>-88.840765759999996</v>
      </c>
      <c r="G26" s="190">
        <f t="shared" si="24"/>
        <v>-82.946869199999995</v>
      </c>
      <c r="H26" s="190">
        <f t="shared" si="24"/>
        <v>-176.64910212245758</v>
      </c>
      <c r="I26" s="190">
        <f t="shared" si="24"/>
        <v>-130.2524683304282</v>
      </c>
      <c r="J26" s="190">
        <f t="shared" si="24"/>
        <v>-285.40558934812213</v>
      </c>
      <c r="K26" s="190">
        <f t="shared" si="24"/>
        <v>216.86724111550257</v>
      </c>
      <c r="L26" s="190">
        <f t="shared" si="24"/>
        <v>757.0073082360334</v>
      </c>
      <c r="M26" s="190">
        <f t="shared" si="24"/>
        <v>1083.9051807740721</v>
      </c>
      <c r="N26" s="190">
        <f t="shared" si="24"/>
        <v>1370.4117278062135</v>
      </c>
      <c r="O26" s="190">
        <f t="shared" si="24"/>
        <v>1635.1951042483004</v>
      </c>
      <c r="P26" s="190">
        <f t="shared" si="24"/>
        <v>1883.9286881696935</v>
      </c>
      <c r="Q26" s="190">
        <f t="shared" si="24"/>
        <v>2032.9028502797246</v>
      </c>
      <c r="R26" s="495">
        <f>R21-R22-R23</f>
        <v>14917.54500124416</v>
      </c>
    </row>
    <row r="27" spans="1:18" ht="15" customHeight="1" x14ac:dyDescent="0.2">
      <c r="A27" s="213"/>
      <c r="B27" s="6"/>
      <c r="C27" s="20" t="s">
        <v>111</v>
      </c>
      <c r="D27" s="55" t="s">
        <v>100</v>
      </c>
      <c r="E27" s="55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496"/>
    </row>
    <row r="28" spans="1:18" ht="15" customHeight="1" x14ac:dyDescent="0.2">
      <c r="A28" s="213"/>
      <c r="B28" s="6"/>
      <c r="C28" s="20" t="s">
        <v>12</v>
      </c>
      <c r="D28" s="55" t="s">
        <v>100</v>
      </c>
      <c r="E28" s="55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496"/>
    </row>
    <row r="29" spans="1:18" ht="15" customHeight="1" x14ac:dyDescent="0.2">
      <c r="A29" s="213"/>
      <c r="B29" s="6"/>
      <c r="C29" s="20" t="s">
        <v>11</v>
      </c>
      <c r="D29" s="127"/>
      <c r="E29" s="127"/>
      <c r="F29" s="106">
        <f>Control!I10*-Control!I11</f>
        <v>0</v>
      </c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496">
        <f>Project!R24</f>
        <v>0</v>
      </c>
    </row>
    <row r="30" spans="1:18" ht="15" customHeight="1" thickBot="1" x14ac:dyDescent="0.25">
      <c r="A30" s="213"/>
      <c r="B30" s="6" t="s">
        <v>105</v>
      </c>
      <c r="C30" s="6"/>
      <c r="D30" s="55"/>
      <c r="E30" s="189">
        <f>SUM(E26:E29)</f>
        <v>-166.47465504000002</v>
      </c>
      <c r="F30" s="189">
        <f>SUM(F26:F29)</f>
        <v>-88.840765759999996</v>
      </c>
      <c r="G30" s="189">
        <f t="shared" ref="G30:O30" si="25">SUM(G26:G29)</f>
        <v>-82.946869199999995</v>
      </c>
      <c r="H30" s="189">
        <f t="shared" si="25"/>
        <v>-176.64910212245758</v>
      </c>
      <c r="I30" s="189">
        <f t="shared" si="25"/>
        <v>-130.2524683304282</v>
      </c>
      <c r="J30" s="189">
        <f t="shared" si="25"/>
        <v>-285.40558934812213</v>
      </c>
      <c r="K30" s="189">
        <f t="shared" si="25"/>
        <v>216.86724111550257</v>
      </c>
      <c r="L30" s="189">
        <f t="shared" si="25"/>
        <v>757.0073082360334</v>
      </c>
      <c r="M30" s="189">
        <f t="shared" si="25"/>
        <v>1083.9051807740721</v>
      </c>
      <c r="N30" s="189">
        <f t="shared" si="25"/>
        <v>1370.4117278062135</v>
      </c>
      <c r="O30" s="189">
        <f t="shared" si="25"/>
        <v>1635.1951042483004</v>
      </c>
      <c r="P30" s="189">
        <f t="shared" ref="P30:Q30" si="26">SUM(P26:P29)</f>
        <v>1883.9286881696935</v>
      </c>
      <c r="Q30" s="189">
        <f t="shared" si="26"/>
        <v>2032.9028502797246</v>
      </c>
      <c r="R30" s="497">
        <f t="shared" ref="R30" si="27">SUM(R26:R29)</f>
        <v>14917.54500124416</v>
      </c>
    </row>
    <row r="31" spans="1:18" ht="15" customHeight="1" thickTop="1" x14ac:dyDescent="0.2">
      <c r="A31" s="213"/>
      <c r="B31" s="6" t="s">
        <v>145</v>
      </c>
      <c r="C31" s="6"/>
      <c r="D31" s="199">
        <f>Control!G45</f>
        <v>0.12</v>
      </c>
      <c r="E31" s="56">
        <f>NPV(D31,F30:R30)+E30</f>
        <v>5710.4626084605898</v>
      </c>
      <c r="F31" s="191" t="s">
        <v>169</v>
      </c>
      <c r="G31" s="230">
        <f>E31/(E31+E51)</f>
        <v>0.60693975036746795</v>
      </c>
      <c r="H31" s="56">
        <f>NPV($D$31,F30:Q30)+E30</f>
        <v>2291.7463140754412</v>
      </c>
      <c r="I31" s="489" t="s">
        <v>648</v>
      </c>
      <c r="J31" s="11"/>
      <c r="K31" s="138"/>
      <c r="L31" s="192"/>
      <c r="M31" s="200" t="s">
        <v>141</v>
      </c>
      <c r="N31" s="52">
        <f>E31-H31</f>
        <v>3418.7162943851486</v>
      </c>
      <c r="O31" s="18">
        <f>N31/E31</f>
        <v>0.59867589174299074</v>
      </c>
      <c r="P31" s="11"/>
      <c r="Q31" s="11"/>
      <c r="R31" s="75"/>
    </row>
    <row r="32" spans="1:18" ht="15" customHeight="1" x14ac:dyDescent="0.2">
      <c r="A32" s="213"/>
      <c r="B32" s="6" t="s">
        <v>146</v>
      </c>
      <c r="C32" s="6"/>
      <c r="D32" s="55"/>
      <c r="E32" s="83">
        <f>IRR(E30:R30)</f>
        <v>0.44924940469927566</v>
      </c>
      <c r="F32" s="59"/>
      <c r="G32" s="11"/>
      <c r="H32" s="59"/>
      <c r="I32" s="11"/>
      <c r="J32" s="59"/>
      <c r="K32" s="59"/>
      <c r="L32" s="59"/>
      <c r="M32" s="59"/>
      <c r="N32" s="59"/>
      <c r="O32" s="59"/>
      <c r="P32" s="11"/>
      <c r="Q32" s="11"/>
      <c r="R32" s="75"/>
    </row>
    <row r="33" spans="1:33" ht="15" customHeight="1" x14ac:dyDescent="0.2">
      <c r="A33" s="218"/>
      <c r="B33" s="60" t="s">
        <v>25</v>
      </c>
      <c r="C33" s="60"/>
      <c r="D33" s="220"/>
      <c r="E33" s="324">
        <f>MATCH(0,$E$30:$R$30,1)</f>
        <v>6</v>
      </c>
      <c r="F33" s="61"/>
      <c r="G33" s="21"/>
      <c r="H33" s="61"/>
      <c r="I33" s="21"/>
      <c r="J33" s="61"/>
      <c r="K33" s="61"/>
      <c r="L33" s="61"/>
      <c r="M33" s="61"/>
      <c r="N33" s="61"/>
      <c r="O33" s="61"/>
      <c r="P33" s="21"/>
      <c r="Q33" s="21"/>
      <c r="R33" s="76"/>
    </row>
    <row r="34" spans="1:33" ht="6.75" customHeight="1" x14ac:dyDescent="0.2">
      <c r="A34" s="11"/>
      <c r="B34" s="11"/>
      <c r="C34" s="11"/>
      <c r="D34" s="8"/>
      <c r="E34" s="8"/>
      <c r="F34" s="11"/>
      <c r="G34" s="11"/>
      <c r="H34" s="11"/>
      <c r="I34" s="11"/>
      <c r="J34" s="11"/>
      <c r="K34" s="52"/>
      <c r="L34" s="52"/>
      <c r="M34" s="52"/>
      <c r="N34" s="52"/>
      <c r="O34" s="52"/>
      <c r="P34" s="11"/>
    </row>
    <row r="35" spans="1:33" ht="15" x14ac:dyDescent="0.25">
      <c r="A35" s="354" t="s">
        <v>113</v>
      </c>
      <c r="B35" s="355"/>
      <c r="C35" s="355"/>
      <c r="D35" s="212" t="s">
        <v>243</v>
      </c>
      <c r="E35" s="212">
        <f t="shared" ref="E35:Q35" si="28">E3</f>
        <v>2009</v>
      </c>
      <c r="F35" s="212">
        <f t="shared" si="28"/>
        <v>2010</v>
      </c>
      <c r="G35" s="212">
        <f t="shared" si="28"/>
        <v>2011</v>
      </c>
      <c r="H35" s="212">
        <f t="shared" si="28"/>
        <v>2012</v>
      </c>
      <c r="I35" s="212">
        <f t="shared" si="28"/>
        <v>2013</v>
      </c>
      <c r="J35" s="212">
        <f t="shared" si="28"/>
        <v>2014</v>
      </c>
      <c r="K35" s="212">
        <f t="shared" si="28"/>
        <v>2015</v>
      </c>
      <c r="L35" s="212">
        <f t="shared" si="28"/>
        <v>2016</v>
      </c>
      <c r="M35" s="212">
        <f t="shared" si="28"/>
        <v>2017</v>
      </c>
      <c r="N35" s="212">
        <f t="shared" si="28"/>
        <v>2018</v>
      </c>
      <c r="O35" s="212">
        <f t="shared" si="28"/>
        <v>2019</v>
      </c>
      <c r="P35" s="212">
        <f t="shared" si="28"/>
        <v>2020</v>
      </c>
      <c r="Q35" s="212">
        <f t="shared" si="28"/>
        <v>2021</v>
      </c>
      <c r="R35" s="498" t="s">
        <v>6</v>
      </c>
    </row>
    <row r="36" spans="1:33" x14ac:dyDescent="0.2">
      <c r="A36" s="213"/>
      <c r="B36" s="8"/>
      <c r="C36" s="20" t="s">
        <v>36</v>
      </c>
      <c r="D36" s="181" t="s">
        <v>2</v>
      </c>
      <c r="E36" s="59">
        <f>E22</f>
        <v>150</v>
      </c>
      <c r="F36" s="59">
        <f t="shared" ref="F36:O36" si="29">F22</f>
        <v>35</v>
      </c>
      <c r="G36" s="59">
        <f t="shared" si="29"/>
        <v>0</v>
      </c>
      <c r="H36" s="59">
        <f t="shared" si="29"/>
        <v>55</v>
      </c>
      <c r="I36" s="59">
        <f t="shared" si="29"/>
        <v>45</v>
      </c>
      <c r="J36" s="59">
        <f t="shared" si="29"/>
        <v>325</v>
      </c>
      <c r="K36" s="59">
        <f t="shared" si="29"/>
        <v>175</v>
      </c>
      <c r="L36" s="59">
        <f t="shared" si="29"/>
        <v>0</v>
      </c>
      <c r="M36" s="59">
        <f t="shared" si="29"/>
        <v>0</v>
      </c>
      <c r="N36" s="59">
        <f t="shared" si="29"/>
        <v>0</v>
      </c>
      <c r="O36" s="59">
        <f t="shared" si="29"/>
        <v>0</v>
      </c>
      <c r="P36" s="59">
        <f t="shared" ref="P36:Q36" si="30">P22</f>
        <v>0</v>
      </c>
      <c r="Q36" s="59">
        <f t="shared" si="30"/>
        <v>0</v>
      </c>
      <c r="R36" s="499"/>
    </row>
    <row r="37" spans="1:33" x14ac:dyDescent="0.2">
      <c r="A37" s="213"/>
      <c r="B37" s="8"/>
      <c r="C37" s="20" t="s">
        <v>33</v>
      </c>
      <c r="D37" s="202">
        <f>NPV(D51,F37:S37)+E37</f>
        <v>1182.9945300447312</v>
      </c>
      <c r="E37" s="59">
        <f>E23</f>
        <v>0</v>
      </c>
      <c r="F37" s="59">
        <f t="shared" ref="F37:O37" si="31">F23</f>
        <v>0</v>
      </c>
      <c r="G37" s="59">
        <f t="shared" si="31"/>
        <v>0</v>
      </c>
      <c r="H37" s="59">
        <f t="shared" si="31"/>
        <v>7.1165834772232133</v>
      </c>
      <c r="I37" s="59">
        <f t="shared" si="31"/>
        <v>45.305741479738003</v>
      </c>
      <c r="J37" s="59">
        <f t="shared" si="31"/>
        <v>121.65039456030127</v>
      </c>
      <c r="K37" s="59">
        <f t="shared" si="31"/>
        <v>185.49845272079648</v>
      </c>
      <c r="L37" s="59">
        <f t="shared" si="31"/>
        <v>286.52451820184751</v>
      </c>
      <c r="M37" s="59">
        <f t="shared" si="31"/>
        <v>378.4876868374912</v>
      </c>
      <c r="N37" s="59">
        <f t="shared" si="31"/>
        <v>469.64645655768607</v>
      </c>
      <c r="O37" s="59">
        <f t="shared" si="31"/>
        <v>550.00267116401255</v>
      </c>
      <c r="P37" s="59">
        <f t="shared" ref="P37:Q37" si="32">P23</f>
        <v>632.21407382088569</v>
      </c>
      <c r="Q37" s="59">
        <f t="shared" si="32"/>
        <v>683.60240006635524</v>
      </c>
      <c r="R37" s="499"/>
    </row>
    <row r="38" spans="1:33" x14ac:dyDescent="0.2">
      <c r="A38" s="213"/>
      <c r="B38" s="8"/>
      <c r="C38" s="244" t="s">
        <v>649</v>
      </c>
      <c r="D38" s="12"/>
      <c r="E38" s="59">
        <f>E24</f>
        <v>0</v>
      </c>
      <c r="F38" s="59">
        <f t="shared" ref="F38:Q38" si="33">F24</f>
        <v>0</v>
      </c>
      <c r="G38" s="59">
        <f t="shared" si="33"/>
        <v>0</v>
      </c>
      <c r="H38" s="59">
        <f t="shared" si="33"/>
        <v>15</v>
      </c>
      <c r="I38" s="59">
        <f t="shared" si="33"/>
        <v>39</v>
      </c>
      <c r="J38" s="59">
        <f t="shared" si="33"/>
        <v>64.5</v>
      </c>
      <c r="K38" s="59">
        <f t="shared" si="33"/>
        <v>72</v>
      </c>
      <c r="L38" s="59">
        <f t="shared" si="33"/>
        <v>72</v>
      </c>
      <c r="M38" s="59">
        <f t="shared" si="33"/>
        <v>72</v>
      </c>
      <c r="N38" s="59">
        <f t="shared" si="33"/>
        <v>72</v>
      </c>
      <c r="O38" s="59">
        <f t="shared" si="33"/>
        <v>72</v>
      </c>
      <c r="P38" s="59">
        <f t="shared" si="33"/>
        <v>72</v>
      </c>
      <c r="Q38" s="59">
        <f t="shared" si="33"/>
        <v>72</v>
      </c>
      <c r="R38" s="499"/>
    </row>
    <row r="39" spans="1:33" x14ac:dyDescent="0.2">
      <c r="A39" s="213"/>
      <c r="B39" s="8"/>
      <c r="C39" s="516" t="s">
        <v>585</v>
      </c>
      <c r="D39" s="71">
        <f>NPV(D51,E39:S39)</f>
        <v>2766.5418273736063</v>
      </c>
      <c r="E39" s="54"/>
      <c r="F39" s="54"/>
      <c r="G39" s="54"/>
      <c r="H39" s="54">
        <f t="shared" ref="H39:Q39" si="34">H25</f>
        <v>5.5369465547656134</v>
      </c>
      <c r="I39" s="54">
        <f t="shared" si="34"/>
        <v>109.37204409572841</v>
      </c>
      <c r="J39" s="54">
        <f t="shared" si="34"/>
        <v>195.05695979143366</v>
      </c>
      <c r="K39" s="54">
        <f t="shared" si="34"/>
        <v>406.39516328694606</v>
      </c>
      <c r="L39" s="54">
        <f t="shared" si="34"/>
        <v>561.19357738068447</v>
      </c>
      <c r="M39" s="54">
        <f t="shared" si="34"/>
        <v>706.60705189026487</v>
      </c>
      <c r="N39" s="54">
        <f t="shared" si="34"/>
        <v>867.18844546440073</v>
      </c>
      <c r="O39" s="54">
        <f t="shared" si="34"/>
        <v>997.04423527718495</v>
      </c>
      <c r="P39" s="54">
        <f t="shared" si="34"/>
        <v>1136.1738038104988</v>
      </c>
      <c r="Q39" s="54">
        <f t="shared" si="34"/>
        <v>1230.5236613146237</v>
      </c>
      <c r="R39" s="435"/>
    </row>
    <row r="40" spans="1:33" x14ac:dyDescent="0.2">
      <c r="A40" s="213"/>
      <c r="B40" s="6" t="s">
        <v>144</v>
      </c>
      <c r="C40" s="11"/>
      <c r="D40" s="9"/>
      <c r="E40" s="188">
        <f t="shared" ref="E40:O40" si="35">SUM(E36:E39)</f>
        <v>150</v>
      </c>
      <c r="F40" s="188">
        <f t="shared" si="35"/>
        <v>35</v>
      </c>
      <c r="G40" s="188">
        <f t="shared" si="35"/>
        <v>0</v>
      </c>
      <c r="H40" s="188">
        <f t="shared" si="35"/>
        <v>82.653530031988822</v>
      </c>
      <c r="I40" s="188">
        <f t="shared" si="35"/>
        <v>238.67778557546643</v>
      </c>
      <c r="J40" s="188">
        <f t="shared" si="35"/>
        <v>706.20735435173492</v>
      </c>
      <c r="K40" s="188">
        <f t="shared" si="35"/>
        <v>838.89361600774259</v>
      </c>
      <c r="L40" s="188">
        <f t="shared" si="35"/>
        <v>919.71809558253199</v>
      </c>
      <c r="M40" s="188">
        <f t="shared" si="35"/>
        <v>1157.0947387277561</v>
      </c>
      <c r="N40" s="188">
        <f t="shared" si="35"/>
        <v>1408.8349020220867</v>
      </c>
      <c r="O40" s="188">
        <f t="shared" si="35"/>
        <v>1619.0469064411975</v>
      </c>
      <c r="P40" s="188">
        <f t="shared" ref="P40:Q40" si="36">SUM(P36:P39)</f>
        <v>1840.3878776313845</v>
      </c>
      <c r="Q40" s="188">
        <f t="shared" si="36"/>
        <v>1986.1260613809791</v>
      </c>
      <c r="R40" s="500"/>
    </row>
    <row r="41" spans="1:33" x14ac:dyDescent="0.2">
      <c r="A41" s="213"/>
      <c r="B41" s="20"/>
      <c r="C41" s="516" t="s">
        <v>344</v>
      </c>
      <c r="D41" s="457">
        <f>Project!D13</f>
        <v>0.04</v>
      </c>
      <c r="E41" s="63">
        <f>$D$41*E4</f>
        <v>0</v>
      </c>
      <c r="F41" s="63">
        <f t="shared" ref="F41:Q41" si="37">$D$41*F4</f>
        <v>0</v>
      </c>
      <c r="G41" s="63">
        <f t="shared" si="37"/>
        <v>0</v>
      </c>
      <c r="H41" s="63">
        <f t="shared" si="37"/>
        <v>2.8466333908892851</v>
      </c>
      <c r="I41" s="63">
        <f t="shared" si="37"/>
        <v>17.768580493246002</v>
      </c>
      <c r="J41" s="63">
        <f t="shared" si="37"/>
        <v>41.614398445800362</v>
      </c>
      <c r="K41" s="63">
        <f t="shared" si="37"/>
        <v>74.37461318019912</v>
      </c>
      <c r="L41" s="63">
        <f t="shared" si="37"/>
        <v>99.631129550461878</v>
      </c>
      <c r="M41" s="63">
        <f t="shared" si="37"/>
        <v>122.6219217093728</v>
      </c>
      <c r="N41" s="63">
        <f t="shared" si="37"/>
        <v>145.41161413942152</v>
      </c>
      <c r="O41" s="63">
        <f t="shared" si="37"/>
        <v>165.50066779100314</v>
      </c>
      <c r="P41" s="63">
        <f t="shared" si="37"/>
        <v>186.05351845522142</v>
      </c>
      <c r="Q41" s="63">
        <f t="shared" si="37"/>
        <v>198.90060001658881</v>
      </c>
      <c r="R41" s="501"/>
    </row>
    <row r="42" spans="1:33" x14ac:dyDescent="0.2">
      <c r="A42" s="213"/>
      <c r="B42" s="20"/>
      <c r="C42" s="516" t="s">
        <v>673</v>
      </c>
      <c r="D42" s="63"/>
      <c r="E42" s="63"/>
      <c r="F42" s="63"/>
      <c r="G42" s="63"/>
      <c r="H42" s="63">
        <f>-COG!I64</f>
        <v>-0.82257498821681541</v>
      </c>
      <c r="I42" s="63">
        <f>-COG!J64</f>
        <v>-4.987879436568786</v>
      </c>
      <c r="J42" s="63">
        <f>-COG!K64</f>
        <v>-15.596330288075869</v>
      </c>
      <c r="K42" s="63">
        <f>-COG!L64</f>
        <v>-19.691287059316707</v>
      </c>
      <c r="L42" s="63">
        <f>-COG!M64</f>
        <v>-27.040128116027063</v>
      </c>
      <c r="M42" s="63">
        <f>-COG!N64</f>
        <v>-33.622368390092447</v>
      </c>
      <c r="N42" s="63">
        <f>-COG!O64</f>
        <v>-39.755018610534222</v>
      </c>
      <c r="O42" s="63">
        <f>-COG!P64</f>
        <v>-45.439836648465644</v>
      </c>
      <c r="P42" s="63">
        <f>-COG!Q64</f>
        <v>-51.106251347608293</v>
      </c>
      <c r="Q42" s="63">
        <f>-COG!R64</f>
        <v>-54.472127748314875</v>
      </c>
      <c r="R42" s="501"/>
    </row>
    <row r="43" spans="1:33" x14ac:dyDescent="0.2">
      <c r="A43" s="213"/>
      <c r="B43" s="20"/>
      <c r="C43" s="28" t="s">
        <v>45</v>
      </c>
      <c r="D43" s="73"/>
      <c r="E43" s="63">
        <f>'R&amp;D'!I38</f>
        <v>2.4499999999999993</v>
      </c>
      <c r="F43" s="63">
        <f>'R&amp;D'!J38</f>
        <v>2.6999999999999957</v>
      </c>
      <c r="G43" s="63">
        <f>'R&amp;D'!K38</f>
        <v>3.3500000000000085</v>
      </c>
      <c r="H43" s="63">
        <f>'R&amp;D'!L38</f>
        <v>5.0316400000000101</v>
      </c>
      <c r="I43" s="63">
        <f>'R&amp;D'!M38</f>
        <v>6.8846699999999998</v>
      </c>
      <c r="J43" s="63">
        <f>'R&amp;D'!N38</f>
        <v>7.734860000000026</v>
      </c>
      <c r="K43" s="63">
        <f>'R&amp;D'!O38</f>
        <v>6.9106299999999976</v>
      </c>
      <c r="L43" s="63">
        <f>'R&amp;D'!P38</f>
        <v>1.4547200000000089</v>
      </c>
      <c r="M43" s="63">
        <f>'R&amp;D'!Q38</f>
        <v>1.8518399999999957</v>
      </c>
      <c r="N43" s="63">
        <f>'R&amp;D'!R38</f>
        <v>0.92592000000000496</v>
      </c>
      <c r="O43" s="63">
        <f>'R&amp;D'!S38</f>
        <v>0</v>
      </c>
      <c r="P43" s="63">
        <f>'R&amp;D'!T38</f>
        <v>0</v>
      </c>
      <c r="Q43" s="63">
        <f>'R&amp;D'!U38</f>
        <v>0</v>
      </c>
      <c r="R43" s="501"/>
      <c r="U43" s="608"/>
      <c r="V43" s="608"/>
      <c r="W43" s="608"/>
      <c r="X43" s="608"/>
      <c r="Y43" s="608"/>
      <c r="Z43" s="608"/>
      <c r="AA43" s="608"/>
      <c r="AB43" s="608"/>
      <c r="AC43" s="608"/>
      <c r="AD43" s="608"/>
      <c r="AE43" s="608"/>
      <c r="AF43" s="608"/>
      <c r="AG43" s="608"/>
    </row>
    <row r="44" spans="1:33" x14ac:dyDescent="0.2">
      <c r="A44" s="213"/>
      <c r="B44" s="20"/>
      <c r="C44" s="516" t="s">
        <v>651</v>
      </c>
      <c r="D44" s="9"/>
      <c r="E44" s="39"/>
      <c r="F44" s="39"/>
      <c r="G44" s="39"/>
      <c r="H44" s="39">
        <f>'S&amp;M'!H81</f>
        <v>10</v>
      </c>
      <c r="I44" s="39">
        <f>'S&amp;M'!I81</f>
        <v>26</v>
      </c>
      <c r="J44" s="39">
        <f>'S&amp;M'!J81</f>
        <v>43</v>
      </c>
      <c r="K44" s="39">
        <f>'S&amp;M'!K81</f>
        <v>48</v>
      </c>
      <c r="L44" s="39">
        <f>'S&amp;M'!L81</f>
        <v>48</v>
      </c>
      <c r="M44" s="39">
        <f>'S&amp;M'!M81</f>
        <v>48</v>
      </c>
      <c r="N44" s="39">
        <f>'S&amp;M'!N81</f>
        <v>48</v>
      </c>
      <c r="O44" s="39">
        <f>'S&amp;M'!O81</f>
        <v>48</v>
      </c>
      <c r="P44" s="39">
        <f>'S&amp;M'!P81</f>
        <v>48</v>
      </c>
      <c r="Q44" s="39">
        <f>'S&amp;M'!Q81</f>
        <v>48</v>
      </c>
      <c r="R44" s="478"/>
    </row>
    <row r="45" spans="1:33" x14ac:dyDescent="0.2">
      <c r="A45" s="213"/>
      <c r="B45" s="20"/>
      <c r="C45" s="8" t="s">
        <v>30</v>
      </c>
      <c r="D45" s="151">
        <v>0</v>
      </c>
      <c r="E45" s="39">
        <f>$D$45*E39</f>
        <v>0</v>
      </c>
      <c r="F45" s="39">
        <f t="shared" ref="F45:Q45" si="38">$D$45*F39</f>
        <v>0</v>
      </c>
      <c r="G45" s="39">
        <f t="shared" si="38"/>
        <v>0</v>
      </c>
      <c r="H45" s="39">
        <f t="shared" si="38"/>
        <v>0</v>
      </c>
      <c r="I45" s="39">
        <f t="shared" si="38"/>
        <v>0</v>
      </c>
      <c r="J45" s="39">
        <f t="shared" si="38"/>
        <v>0</v>
      </c>
      <c r="K45" s="39">
        <f t="shared" si="38"/>
        <v>0</v>
      </c>
      <c r="L45" s="39">
        <f t="shared" si="38"/>
        <v>0</v>
      </c>
      <c r="M45" s="39">
        <f t="shared" si="38"/>
        <v>0</v>
      </c>
      <c r="N45" s="39">
        <f t="shared" si="38"/>
        <v>0</v>
      </c>
      <c r="O45" s="39">
        <f t="shared" si="38"/>
        <v>0</v>
      </c>
      <c r="P45" s="39">
        <f t="shared" si="38"/>
        <v>0</v>
      </c>
      <c r="Q45" s="39">
        <f t="shared" si="38"/>
        <v>0</v>
      </c>
      <c r="R45" s="478"/>
    </row>
    <row r="46" spans="1:33" x14ac:dyDescent="0.2">
      <c r="A46" s="213"/>
      <c r="B46" s="6" t="s">
        <v>121</v>
      </c>
      <c r="C46" s="8"/>
      <c r="D46" s="8"/>
      <c r="E46" s="193">
        <f t="shared" ref="E46:O46" si="39">E40-SUM(E41:E45)</f>
        <v>147.55000000000001</v>
      </c>
      <c r="F46" s="193">
        <f t="shared" si="39"/>
        <v>32.300000000000004</v>
      </c>
      <c r="G46" s="193">
        <f t="shared" si="39"/>
        <v>-3.3500000000000085</v>
      </c>
      <c r="H46" s="193">
        <f t="shared" si="39"/>
        <v>65.597831629316346</v>
      </c>
      <c r="I46" s="193">
        <f t="shared" si="39"/>
        <v>193.01241451878923</v>
      </c>
      <c r="J46" s="193">
        <f t="shared" si="39"/>
        <v>629.45442619401047</v>
      </c>
      <c r="K46" s="193">
        <f t="shared" si="39"/>
        <v>729.29965988686013</v>
      </c>
      <c r="L46" s="193">
        <f t="shared" si="39"/>
        <v>797.67237414809711</v>
      </c>
      <c r="M46" s="193">
        <f t="shared" si="39"/>
        <v>1018.2433454084758</v>
      </c>
      <c r="N46" s="193">
        <f t="shared" si="39"/>
        <v>1254.2523864931993</v>
      </c>
      <c r="O46" s="193">
        <f t="shared" si="39"/>
        <v>1450.9860752986601</v>
      </c>
      <c r="P46" s="193">
        <f t="shared" ref="P46:Q46" si="40">P40-SUM(P41:P45)</f>
        <v>1657.4406105237713</v>
      </c>
      <c r="Q46" s="193">
        <f t="shared" si="40"/>
        <v>1793.6975891127051</v>
      </c>
      <c r="R46" s="502"/>
    </row>
    <row r="47" spans="1:33" x14ac:dyDescent="0.2">
      <c r="A47" s="213"/>
      <c r="B47" s="6"/>
      <c r="C47" s="20" t="s">
        <v>111</v>
      </c>
      <c r="D47" s="55" t="s">
        <v>100</v>
      </c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499"/>
    </row>
    <row r="48" spans="1:33" x14ac:dyDescent="0.2">
      <c r="A48" s="213"/>
      <c r="B48" s="6"/>
      <c r="C48" s="20" t="s">
        <v>12</v>
      </c>
      <c r="D48" s="55" t="s">
        <v>100</v>
      </c>
      <c r="E48" s="59"/>
      <c r="F48" s="59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401"/>
    </row>
    <row r="49" spans="1:18" x14ac:dyDescent="0.2">
      <c r="A49" s="213"/>
      <c r="B49" s="6"/>
      <c r="C49" s="20" t="s">
        <v>11</v>
      </c>
      <c r="D49" s="55" t="s">
        <v>100</v>
      </c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499"/>
    </row>
    <row r="50" spans="1:18" ht="13.5" thickBot="1" x14ac:dyDescent="0.25">
      <c r="A50" s="213"/>
      <c r="B50" s="6" t="s">
        <v>105</v>
      </c>
      <c r="C50" s="6"/>
      <c r="D50" s="55"/>
      <c r="E50" s="189">
        <f t="shared" ref="E50:P50" si="41">SUM(E46:E49)</f>
        <v>147.55000000000001</v>
      </c>
      <c r="F50" s="189">
        <f t="shared" si="41"/>
        <v>32.300000000000004</v>
      </c>
      <c r="G50" s="189">
        <f t="shared" si="41"/>
        <v>-3.3500000000000085</v>
      </c>
      <c r="H50" s="189">
        <f t="shared" si="41"/>
        <v>65.597831629316346</v>
      </c>
      <c r="I50" s="189">
        <f t="shared" si="41"/>
        <v>193.01241451878923</v>
      </c>
      <c r="J50" s="189">
        <f t="shared" si="41"/>
        <v>629.45442619401047</v>
      </c>
      <c r="K50" s="189">
        <f t="shared" si="41"/>
        <v>729.29965988686013</v>
      </c>
      <c r="L50" s="189">
        <f t="shared" si="41"/>
        <v>797.67237414809711</v>
      </c>
      <c r="M50" s="189">
        <f t="shared" si="41"/>
        <v>1018.2433454084758</v>
      </c>
      <c r="N50" s="189">
        <f t="shared" si="41"/>
        <v>1254.2523864931993</v>
      </c>
      <c r="O50" s="189">
        <f t="shared" si="41"/>
        <v>1450.9860752986601</v>
      </c>
      <c r="P50" s="189">
        <f t="shared" si="41"/>
        <v>1657.4406105237713</v>
      </c>
      <c r="Q50" s="189">
        <f t="shared" ref="Q50" si="42">SUM(Q46:Q49)</f>
        <v>1793.6975891127051</v>
      </c>
      <c r="R50" s="495"/>
    </row>
    <row r="51" spans="1:18" ht="13.5" thickTop="1" x14ac:dyDescent="0.2">
      <c r="A51" s="218"/>
      <c r="B51" s="60" t="s">
        <v>147</v>
      </c>
      <c r="C51" s="60"/>
      <c r="D51" s="346">
        <f>Control!G45</f>
        <v>0.12</v>
      </c>
      <c r="E51" s="133">
        <f>NPV(D51,F50:R50)+E50</f>
        <v>3698.1526700793725</v>
      </c>
      <c r="F51" s="343" t="s">
        <v>169</v>
      </c>
      <c r="G51" s="344">
        <f>1-G31</f>
        <v>0.39306024963253205</v>
      </c>
      <c r="H51" s="133">
        <f>NPV($D$31,F50:Q50)+E50</f>
        <v>3698.1526700793725</v>
      </c>
      <c r="I51" s="503" t="s">
        <v>340</v>
      </c>
      <c r="J51" s="21"/>
      <c r="K51" s="343"/>
      <c r="L51" s="345"/>
      <c r="M51" s="273" t="s">
        <v>141</v>
      </c>
      <c r="N51" s="165">
        <f>E51-H51</f>
        <v>0</v>
      </c>
      <c r="O51" s="251">
        <f>N51/E51</f>
        <v>0</v>
      </c>
      <c r="P51" s="21"/>
      <c r="Q51" s="21"/>
      <c r="R51" s="21"/>
    </row>
    <row r="52" spans="1:18" ht="5.25" customHeight="1" x14ac:dyDescent="0.2">
      <c r="A52" s="213"/>
      <c r="B52" s="6"/>
      <c r="C52" s="6"/>
      <c r="D52" s="6"/>
      <c r="E52" s="56"/>
      <c r="F52" s="191"/>
      <c r="G52" s="230"/>
      <c r="H52" s="56"/>
      <c r="I52" s="72"/>
      <c r="J52" s="11"/>
      <c r="K52" s="191"/>
      <c r="L52" s="231"/>
      <c r="M52" s="200"/>
      <c r="N52" s="52"/>
      <c r="O52" s="18"/>
      <c r="P52" s="11"/>
      <c r="Q52" s="11"/>
      <c r="R52" s="11"/>
    </row>
    <row r="53" spans="1:18" ht="15" x14ac:dyDescent="0.25">
      <c r="A53" s="356" t="s">
        <v>162</v>
      </c>
      <c r="B53" s="357"/>
      <c r="C53" s="357"/>
      <c r="D53" s="358"/>
      <c r="E53" s="347">
        <f>E51+E31</f>
        <v>9408.6152785399627</v>
      </c>
      <c r="F53" s="348"/>
      <c r="G53" s="349"/>
      <c r="H53" s="188">
        <f>H51+H31</f>
        <v>5989.8989841548137</v>
      </c>
      <c r="I53" s="350"/>
      <c r="J53" s="342"/>
      <c r="K53" s="348"/>
      <c r="L53" s="351"/>
      <c r="M53" s="342"/>
      <c r="N53" s="352">
        <f>N51+N31</f>
        <v>3418.7162943851486</v>
      </c>
      <c r="O53" s="353"/>
      <c r="P53" s="352"/>
      <c r="Q53" s="342"/>
      <c r="R53" s="342"/>
    </row>
    <row r="54" spans="1:18" ht="8.25" customHeight="1" x14ac:dyDescent="0.2">
      <c r="A54" s="8"/>
      <c r="B54" s="6"/>
    </row>
    <row r="55" spans="1:18" ht="15" customHeight="1" x14ac:dyDescent="0.2">
      <c r="A55" s="8"/>
      <c r="B55" s="6"/>
      <c r="C55" s="423" t="s">
        <v>652</v>
      </c>
      <c r="E55" s="858">
        <f>E46+E26</f>
        <v>-18.924655040000005</v>
      </c>
      <c r="F55" s="858">
        <f t="shared" ref="F55:R55" si="43">F46+F26</f>
        <v>-56.540765759999992</v>
      </c>
      <c r="G55" s="858">
        <f t="shared" si="43"/>
        <v>-86.296869200000003</v>
      </c>
      <c r="H55" s="858">
        <f t="shared" si="43"/>
        <v>-111.05127049314123</v>
      </c>
      <c r="I55" s="858">
        <f t="shared" si="43"/>
        <v>62.759946188361027</v>
      </c>
      <c r="J55" s="858">
        <f t="shared" si="43"/>
        <v>344.04883684588833</v>
      </c>
      <c r="K55" s="858">
        <f t="shared" si="43"/>
        <v>946.16690100236269</v>
      </c>
      <c r="L55" s="858">
        <f t="shared" si="43"/>
        <v>1554.6796823841305</v>
      </c>
      <c r="M55" s="858">
        <f t="shared" si="43"/>
        <v>2102.1485261825478</v>
      </c>
      <c r="N55" s="858">
        <f t="shared" si="43"/>
        <v>2624.6641142994131</v>
      </c>
      <c r="O55" s="858">
        <f t="shared" si="43"/>
        <v>3086.1811795469603</v>
      </c>
      <c r="P55" s="858">
        <f t="shared" si="43"/>
        <v>3541.3692986934648</v>
      </c>
      <c r="Q55" s="858">
        <f t="shared" si="43"/>
        <v>3826.6004393924295</v>
      </c>
      <c r="R55" s="858">
        <f t="shared" si="43"/>
        <v>14917.54500124416</v>
      </c>
    </row>
    <row r="56" spans="1:18" x14ac:dyDescent="0.2">
      <c r="A56" s="8"/>
      <c r="B56" s="6"/>
    </row>
    <row r="57" spans="1:18" x14ac:dyDescent="0.2">
      <c r="B57" s="6" t="s">
        <v>148</v>
      </c>
      <c r="C57" s="20"/>
      <c r="D57" s="199">
        <f>Control!G45</f>
        <v>0.12</v>
      </c>
      <c r="E57" s="129">
        <f>NPV(D57,G82:R82)+F82</f>
        <v>3259.7318000389746</v>
      </c>
      <c r="G57" s="129"/>
      <c r="H57" s="129"/>
      <c r="I57" s="129"/>
      <c r="J57" s="86"/>
      <c r="K57" s="86"/>
      <c r="L57" s="86"/>
      <c r="M57" s="86"/>
      <c r="N57" s="86"/>
      <c r="O57" s="86"/>
      <c r="P57" s="86"/>
      <c r="Q57" s="86"/>
      <c r="R57" s="86"/>
    </row>
    <row r="58" spans="1:18" x14ac:dyDescent="0.2">
      <c r="B58" s="6" t="s">
        <v>149</v>
      </c>
      <c r="C58" s="20"/>
      <c r="D58" s="62"/>
      <c r="E58" s="83" t="e">
        <f>IRR(F82:P82)</f>
        <v>#NUM!</v>
      </c>
      <c r="G58" s="59"/>
      <c r="H58" s="56"/>
      <c r="I58" s="59"/>
      <c r="J58" s="59"/>
      <c r="K58" s="59"/>
      <c r="L58" s="59"/>
      <c r="M58" s="59"/>
      <c r="N58" s="59"/>
      <c r="O58" s="59"/>
    </row>
    <row r="59" spans="1:18" x14ac:dyDescent="0.2">
      <c r="B59" s="6"/>
      <c r="C59" s="20"/>
      <c r="D59" s="62"/>
      <c r="E59" s="83"/>
      <c r="G59" s="59"/>
      <c r="H59" s="56"/>
      <c r="I59" s="59"/>
      <c r="J59" s="59"/>
      <c r="K59" s="59"/>
      <c r="L59" s="59"/>
      <c r="M59" s="59"/>
      <c r="N59" s="59"/>
      <c r="O59" s="59"/>
    </row>
    <row r="60" spans="1:18" x14ac:dyDescent="0.2">
      <c r="B60" s="6"/>
      <c r="C60" s="20"/>
      <c r="D60" s="62"/>
      <c r="E60" s="83"/>
      <c r="G60" s="59"/>
      <c r="H60" s="56"/>
      <c r="I60" s="59"/>
      <c r="J60" s="59"/>
      <c r="K60" s="59"/>
      <c r="L60" s="59"/>
      <c r="M60" s="59"/>
      <c r="N60" s="59"/>
      <c r="O60" s="59"/>
    </row>
    <row r="61" spans="1:18" x14ac:dyDescent="0.2">
      <c r="B61" s="6"/>
      <c r="C61" s="394" t="s">
        <v>204</v>
      </c>
      <c r="D61" s="62"/>
      <c r="E61" s="83"/>
      <c r="G61" s="59"/>
      <c r="H61" s="786">
        <f>H63+H72</f>
        <v>0.14623426344112933</v>
      </c>
      <c r="I61" s="786">
        <f t="shared" ref="I61:Q61" si="44">I63+I72</f>
        <v>0.15813337185664944</v>
      </c>
      <c r="J61" s="786">
        <f t="shared" si="44"/>
        <v>0.19188747496680639</v>
      </c>
      <c r="K61" s="786">
        <f t="shared" si="44"/>
        <v>0.15271602815837049</v>
      </c>
      <c r="L61" s="786">
        <f t="shared" si="44"/>
        <v>0.16931461509462642</v>
      </c>
      <c r="M61" s="786">
        <f t="shared" si="44"/>
        <v>0.17830401649827457</v>
      </c>
      <c r="N61" s="786">
        <f t="shared" si="44"/>
        <v>0.18387019594445064</v>
      </c>
      <c r="O61" s="786">
        <f t="shared" si="44"/>
        <v>0.18784259055384683</v>
      </c>
      <c r="P61" s="786">
        <f t="shared" si="44"/>
        <v>0.19085805803185302</v>
      </c>
      <c r="Q61" s="786">
        <f t="shared" si="44"/>
        <v>0.19224940271234978</v>
      </c>
    </row>
    <row r="62" spans="1:18" x14ac:dyDescent="0.2">
      <c r="A62" s="89"/>
      <c r="B62" s="6"/>
      <c r="C62" s="394" t="s">
        <v>222</v>
      </c>
      <c r="D62" s="62"/>
      <c r="E62" s="83"/>
      <c r="G62" s="59"/>
      <c r="H62" s="785">
        <f>H7+H14</f>
        <v>3.2902999528672612</v>
      </c>
      <c r="I62" s="785">
        <f>I7+I14</f>
        <v>24.939397182843933</v>
      </c>
      <c r="J62" s="785">
        <f>J7+J14</f>
        <v>77.981651440379324</v>
      </c>
      <c r="K62" s="785">
        <f>K7+K14</f>
        <v>98.456435296583564</v>
      </c>
      <c r="L62" s="785">
        <f>L7+L14</f>
        <v>135.20064058013534</v>
      </c>
      <c r="M62" s="785">
        <f>M7+M14</f>
        <v>168.11184195046229</v>
      </c>
      <c r="N62" s="785">
        <f>N7+N14</f>
        <v>198.77509305267102</v>
      </c>
      <c r="O62" s="785">
        <f>O7+O14</f>
        <v>227.19918324232813</v>
      </c>
      <c r="P62" s="785">
        <f>P7+P14</f>
        <v>255.53125673804146</v>
      </c>
      <c r="Q62" s="785">
        <f>Q7+Q14</f>
        <v>272.36063874157441</v>
      </c>
    </row>
    <row r="63" spans="1:18" x14ac:dyDescent="0.2">
      <c r="B63" s="6"/>
      <c r="C63" s="394" t="s">
        <v>102</v>
      </c>
      <c r="D63" s="62"/>
      <c r="E63" s="83"/>
      <c r="G63" s="59"/>
      <c r="H63" s="786">
        <f>H62/H66</f>
        <v>4.6234263441129311E-2</v>
      </c>
      <c r="I63" s="786">
        <f t="shared" ref="I63:Q63" si="45">I62/I66</f>
        <v>5.6142688927398841E-2</v>
      </c>
      <c r="J63" s="786">
        <f t="shared" si="45"/>
        <v>7.4956413503796851E-2</v>
      </c>
      <c r="K63" s="786">
        <f t="shared" si="45"/>
        <v>5.2951635557707093E-2</v>
      </c>
      <c r="L63" s="786">
        <f t="shared" si="45"/>
        <v>5.4280480885909442E-2</v>
      </c>
      <c r="M63" s="786">
        <f t="shared" si="45"/>
        <v>5.4839082476265712E-2</v>
      </c>
      <c r="N63" s="786">
        <f t="shared" si="45"/>
        <v>5.4679289334367553E-2</v>
      </c>
      <c r="O63" s="786">
        <f t="shared" si="45"/>
        <v>5.4911967733988563E-2</v>
      </c>
      <c r="P63" s="786">
        <f t="shared" si="45"/>
        <v>5.4937151172347577E-2</v>
      </c>
      <c r="Q63" s="786">
        <f t="shared" si="45"/>
        <v>5.4773216112743522E-2</v>
      </c>
    </row>
    <row r="64" spans="1:18" x14ac:dyDescent="0.2">
      <c r="B64" s="6"/>
      <c r="C64" s="20"/>
      <c r="D64" s="62"/>
      <c r="E64" s="83"/>
      <c r="G64" s="59"/>
      <c r="H64" s="56"/>
      <c r="I64" s="59"/>
      <c r="J64" s="59"/>
      <c r="K64" s="59"/>
      <c r="L64" s="59"/>
      <c r="M64" s="59"/>
      <c r="N64" s="59"/>
      <c r="O64" s="59"/>
    </row>
    <row r="65" spans="1:18" x14ac:dyDescent="0.2">
      <c r="A65" s="89" t="s">
        <v>352</v>
      </c>
      <c r="B65" s="89"/>
      <c r="C65" s="94"/>
      <c r="D65" s="87" t="s">
        <v>243</v>
      </c>
      <c r="E65" s="124">
        <f>E35</f>
        <v>2009</v>
      </c>
      <c r="F65" s="124">
        <f>F35</f>
        <v>2010</v>
      </c>
      <c r="G65" s="124">
        <f>G35</f>
        <v>2011</v>
      </c>
      <c r="H65" s="124">
        <f>H35</f>
        <v>2012</v>
      </c>
      <c r="I65" s="124">
        <f>I35</f>
        <v>2013</v>
      </c>
      <c r="J65" s="124">
        <f>J35</f>
        <v>2014</v>
      </c>
      <c r="K65" s="124">
        <f>K35</f>
        <v>2015</v>
      </c>
      <c r="L65" s="124">
        <f>L35</f>
        <v>2016</v>
      </c>
      <c r="M65" s="124">
        <f>M35</f>
        <v>2017</v>
      </c>
      <c r="N65" s="124">
        <f>N35</f>
        <v>2018</v>
      </c>
      <c r="O65" s="124">
        <f>O35</f>
        <v>2019</v>
      </c>
      <c r="P65" s="124">
        <f>P35</f>
        <v>2020</v>
      </c>
      <c r="Q65" s="124">
        <f>Q35</f>
        <v>2021</v>
      </c>
    </row>
    <row r="66" spans="1:18" x14ac:dyDescent="0.2">
      <c r="C66" s="397" t="s">
        <v>593</v>
      </c>
      <c r="H66" s="782">
        <f>H6+H13</f>
        <v>71.165834772232131</v>
      </c>
      <c r="I66" s="782">
        <f>I6+I13</f>
        <v>444.21451233115005</v>
      </c>
      <c r="J66" s="782">
        <f>J6+J13</f>
        <v>1040.359961145009</v>
      </c>
      <c r="K66" s="782">
        <f>K6+K13</f>
        <v>1859.365329504978</v>
      </c>
      <c r="L66" s="782">
        <f>L6+L13</f>
        <v>2490.7782387615471</v>
      </c>
      <c r="M66" s="782">
        <f>M6+M13</f>
        <v>3065.54804273432</v>
      </c>
      <c r="N66" s="782">
        <f>N6+N13</f>
        <v>3635.2903534855377</v>
      </c>
      <c r="O66" s="782">
        <f>O6+O13</f>
        <v>4137.5166947750786</v>
      </c>
      <c r="P66" s="782">
        <f>P6+P13</f>
        <v>4651.3379613805355</v>
      </c>
      <c r="Q66" s="782">
        <f>Q6+Q13</f>
        <v>4972.5150004147199</v>
      </c>
      <c r="R66" s="124"/>
    </row>
    <row r="67" spans="1:18" ht="15" x14ac:dyDescent="0.25">
      <c r="A67" s="94"/>
      <c r="C67" s="397" t="s">
        <v>349</v>
      </c>
      <c r="D67" s="417">
        <f>Control!F32</f>
        <v>400</v>
      </c>
      <c r="E67" s="528">
        <f>Control!G32</f>
        <v>0.1</v>
      </c>
      <c r="F67" s="517" t="s">
        <v>280</v>
      </c>
      <c r="G67" s="523"/>
      <c r="H67" s="860">
        <f>IF(H66&lt;$D67,(H66*$E67))+IF(H66&gt;$D67,$D67*$E67)</f>
        <v>7.1165834772232133</v>
      </c>
      <c r="I67" s="860">
        <f t="shared" ref="I67:Q67" si="46">IF(I66&lt;$D67,(I66*$E67))+IF(I66&gt;$D67,$D67*$E67)</f>
        <v>40</v>
      </c>
      <c r="J67" s="860">
        <f t="shared" si="46"/>
        <v>40</v>
      </c>
      <c r="K67" s="860">
        <f t="shared" si="46"/>
        <v>40</v>
      </c>
      <c r="L67" s="860">
        <f t="shared" si="46"/>
        <v>40</v>
      </c>
      <c r="M67" s="860">
        <f t="shared" si="46"/>
        <v>40</v>
      </c>
      <c r="N67" s="860">
        <f t="shared" si="46"/>
        <v>40</v>
      </c>
      <c r="O67" s="860">
        <f t="shared" si="46"/>
        <v>40</v>
      </c>
      <c r="P67" s="860">
        <f t="shared" si="46"/>
        <v>40</v>
      </c>
      <c r="Q67" s="860">
        <f t="shared" si="46"/>
        <v>40</v>
      </c>
      <c r="R67" s="157"/>
    </row>
    <row r="68" spans="1:18" ht="15" x14ac:dyDescent="0.25">
      <c r="A68" s="94"/>
      <c r="C68" s="397" t="s">
        <v>353</v>
      </c>
      <c r="D68" s="417">
        <f>Control!F33</f>
        <v>800</v>
      </c>
      <c r="E68" s="528">
        <f>Control!G33</f>
        <v>0.12</v>
      </c>
      <c r="F68" s="517" t="s">
        <v>347</v>
      </c>
      <c r="G68" s="523"/>
      <c r="H68" s="860">
        <f>IF(H66&gt;$D67,H66&lt;=$D68)*(H66-$D67)*$E68+IF(H66&gt;$D68,($D68-$D67)*$E68)</f>
        <v>0</v>
      </c>
      <c r="I68" s="860">
        <f t="shared" ref="I68:Q68" si="47">IF(I66&gt;$D67,I66&lt;=$D68)*(I66-$D67)*$E68+IF(I66&gt;$D68,($D68-$D67)*$E68)</f>
        <v>5.3057414797380051</v>
      </c>
      <c r="J68" s="860">
        <f t="shared" si="47"/>
        <v>48</v>
      </c>
      <c r="K68" s="860">
        <f t="shared" si="47"/>
        <v>48</v>
      </c>
      <c r="L68" s="860">
        <f t="shared" si="47"/>
        <v>48</v>
      </c>
      <c r="M68" s="860">
        <f t="shared" si="47"/>
        <v>48</v>
      </c>
      <c r="N68" s="860">
        <f t="shared" si="47"/>
        <v>48</v>
      </c>
      <c r="O68" s="860">
        <f t="shared" si="47"/>
        <v>48</v>
      </c>
      <c r="P68" s="860">
        <f t="shared" si="47"/>
        <v>48</v>
      </c>
      <c r="Q68" s="860">
        <f t="shared" si="47"/>
        <v>48</v>
      </c>
      <c r="R68" s="157"/>
    </row>
    <row r="69" spans="1:18" ht="15" x14ac:dyDescent="0.25">
      <c r="A69" s="94"/>
      <c r="C69" s="397" t="s">
        <v>354</v>
      </c>
      <c r="D69" s="417">
        <f>Control!F34</f>
        <v>1200</v>
      </c>
      <c r="E69" s="528">
        <f>Control!G34</f>
        <v>0.14000000000000001</v>
      </c>
      <c r="F69" s="517" t="s">
        <v>348</v>
      </c>
      <c r="G69" s="524"/>
      <c r="H69" s="861">
        <f>IF(H66&gt;$D68,H66&lt;=$D69)*(H66-$D68)*$E69+IF(H66&gt;$D69,(H66-$D68)*$E69)</f>
        <v>0</v>
      </c>
      <c r="I69" s="861">
        <f t="shared" ref="I69" si="48">IF(I66&gt;$D68,I66&lt;=$D69)*(I66-$D68)*$E69+IF(I66&gt;$D69,(I66-$D68)*$E69)</f>
        <v>0</v>
      </c>
      <c r="J69" s="861">
        <f>IF(J66&gt;$D68,J66&lt;=$D69)*(J66-$D68)*$E69+IF(J66&gt;$D69,($D69-$D68)*$E69)</f>
        <v>33.650394560301265</v>
      </c>
      <c r="K69" s="861">
        <f t="shared" ref="K69:Q69" si="49">IF(K66&gt;$D68,K66&lt;=$D69)*(K66-$D68)*$E69+IF(K66&gt;$D69,($D69-$D68)*$E69)</f>
        <v>56.000000000000007</v>
      </c>
      <c r="L69" s="861">
        <f t="shared" si="49"/>
        <v>56.000000000000007</v>
      </c>
      <c r="M69" s="861">
        <f t="shared" si="49"/>
        <v>56.000000000000007</v>
      </c>
      <c r="N69" s="861">
        <f t="shared" si="49"/>
        <v>56.000000000000007</v>
      </c>
      <c r="O69" s="861">
        <f t="shared" si="49"/>
        <v>56.000000000000007</v>
      </c>
      <c r="P69" s="861">
        <f t="shared" si="49"/>
        <v>56.000000000000007</v>
      </c>
      <c r="Q69" s="861">
        <f t="shared" si="49"/>
        <v>56.000000000000007</v>
      </c>
      <c r="R69" s="194"/>
    </row>
    <row r="70" spans="1:18" ht="15" x14ac:dyDescent="0.25">
      <c r="A70" s="94"/>
      <c r="C70" s="397" t="s">
        <v>350</v>
      </c>
      <c r="D70" s="417">
        <f>Control!F35</f>
        <v>1600</v>
      </c>
      <c r="E70" s="528">
        <f>Control!G35</f>
        <v>0.16</v>
      </c>
      <c r="G70" s="525"/>
      <c r="H70" s="862">
        <f>IF(H66&gt;$D69,H66&lt;=$D70)*(H66-$D69)*$E70+IF(H66&gt;$D70,(H66-$D70)*$E70)</f>
        <v>0</v>
      </c>
      <c r="I70" s="862">
        <f t="shared" ref="I70:Q70" si="50">IF(I66&gt;$D69,I66&lt;=$D70)*(I66-$D69)*$E70+IF(I66&gt;$D70,(I66-$D70)*$E70)</f>
        <v>0</v>
      </c>
      <c r="J70" s="862">
        <f t="shared" si="50"/>
        <v>0</v>
      </c>
      <c r="K70" s="862">
        <f t="shared" si="50"/>
        <v>41.498452720796486</v>
      </c>
      <c r="L70" s="862">
        <f t="shared" si="50"/>
        <v>142.52451820184754</v>
      </c>
      <c r="M70" s="862">
        <f t="shared" si="50"/>
        <v>234.4876868374912</v>
      </c>
      <c r="N70" s="862">
        <f t="shared" si="50"/>
        <v>325.64645655768607</v>
      </c>
      <c r="O70" s="862">
        <f t="shared" si="50"/>
        <v>406.00267116401255</v>
      </c>
      <c r="P70" s="862">
        <f t="shared" si="50"/>
        <v>488.21407382088569</v>
      </c>
      <c r="Q70" s="862">
        <f t="shared" si="50"/>
        <v>539.60240006635524</v>
      </c>
      <c r="R70" s="194"/>
    </row>
    <row r="71" spans="1:18" ht="15" x14ac:dyDescent="0.25">
      <c r="A71" s="94"/>
      <c r="C71" s="397" t="s">
        <v>356</v>
      </c>
      <c r="D71" s="244"/>
      <c r="E71" s="244"/>
      <c r="G71" s="524"/>
      <c r="H71" s="861">
        <f t="shared" ref="H71:Q71" si="51">SUM(H67:H70)</f>
        <v>7.1165834772232133</v>
      </c>
      <c r="I71" s="861">
        <f t="shared" si="51"/>
        <v>45.305741479738003</v>
      </c>
      <c r="J71" s="861">
        <f t="shared" si="51"/>
        <v>121.65039456030127</v>
      </c>
      <c r="K71" s="861">
        <f t="shared" si="51"/>
        <v>185.49845272079648</v>
      </c>
      <c r="L71" s="861">
        <f t="shared" si="51"/>
        <v>286.52451820184751</v>
      </c>
      <c r="M71" s="861">
        <f t="shared" si="51"/>
        <v>378.4876868374912</v>
      </c>
      <c r="N71" s="861">
        <f t="shared" si="51"/>
        <v>469.64645655768607</v>
      </c>
      <c r="O71" s="861">
        <f t="shared" si="51"/>
        <v>550.00267116401255</v>
      </c>
      <c r="P71" s="861">
        <f t="shared" si="51"/>
        <v>632.21407382088569</v>
      </c>
      <c r="Q71" s="861">
        <f t="shared" si="51"/>
        <v>683.60240006635524</v>
      </c>
      <c r="R71" s="194"/>
    </row>
    <row r="72" spans="1:18" ht="15" x14ac:dyDescent="0.25">
      <c r="A72" s="94"/>
      <c r="C72" s="526" t="s">
        <v>102</v>
      </c>
      <c r="D72" s="244"/>
      <c r="E72" s="244"/>
      <c r="G72" s="524"/>
      <c r="H72" s="527">
        <f>H71/H66</f>
        <v>0.1</v>
      </c>
      <c r="I72" s="527">
        <f t="shared" ref="I72:Q72" si="52">I71/I66</f>
        <v>0.10199068292925059</v>
      </c>
      <c r="J72" s="527">
        <f t="shared" si="52"/>
        <v>0.11693106146300954</v>
      </c>
      <c r="K72" s="527">
        <f t="shared" si="52"/>
        <v>9.9764392600663387E-2</v>
      </c>
      <c r="L72" s="527">
        <f t="shared" si="52"/>
        <v>0.11503413420871698</v>
      </c>
      <c r="M72" s="527">
        <f t="shared" si="52"/>
        <v>0.12346493402200885</v>
      </c>
      <c r="N72" s="527">
        <f t="shared" si="52"/>
        <v>0.12919090661008309</v>
      </c>
      <c r="O72" s="527">
        <f t="shared" si="52"/>
        <v>0.13293062281985826</v>
      </c>
      <c r="P72" s="527">
        <f t="shared" si="52"/>
        <v>0.13592090685950545</v>
      </c>
      <c r="Q72" s="527">
        <f t="shared" si="52"/>
        <v>0.13747618659960625</v>
      </c>
      <c r="R72" s="194"/>
    </row>
    <row r="73" spans="1:18" ht="15" customHeight="1" x14ac:dyDescent="0.2">
      <c r="A73" s="95"/>
      <c r="B73" s="21"/>
      <c r="C73" s="396"/>
      <c r="D73" s="21"/>
      <c r="E73" s="21"/>
      <c r="F73" s="21"/>
      <c r="G73" s="61"/>
      <c r="H73" s="61"/>
      <c r="I73" s="61"/>
      <c r="J73" s="61"/>
      <c r="K73" s="61"/>
      <c r="L73" s="61"/>
      <c r="M73" s="61"/>
      <c r="N73" s="61"/>
      <c r="O73" s="61"/>
      <c r="P73" s="21"/>
      <c r="Q73" s="21"/>
      <c r="R73" s="21"/>
    </row>
    <row r="74" spans="1:18" x14ac:dyDescent="0.2">
      <c r="A74" s="89" t="s">
        <v>122</v>
      </c>
      <c r="B74" s="89"/>
      <c r="C74" s="94"/>
      <c r="D74" s="87" t="s">
        <v>243</v>
      </c>
      <c r="E74" s="124">
        <f>E3</f>
        <v>2009</v>
      </c>
      <c r="F74" s="124">
        <f>F3</f>
        <v>2010</v>
      </c>
      <c r="G74" s="124">
        <f>G3</f>
        <v>2011</v>
      </c>
      <c r="H74" s="124">
        <f>H3</f>
        <v>2012</v>
      </c>
      <c r="I74" s="124">
        <f>I3</f>
        <v>2013</v>
      </c>
      <c r="J74" s="124">
        <f>J3</f>
        <v>2014</v>
      </c>
      <c r="K74" s="124">
        <f>K3</f>
        <v>2015</v>
      </c>
      <c r="L74" s="124">
        <f>L3</f>
        <v>2016</v>
      </c>
      <c r="M74" s="124">
        <f>M3</f>
        <v>2017</v>
      </c>
      <c r="N74" s="124">
        <f>N3</f>
        <v>2018</v>
      </c>
      <c r="O74" s="124">
        <f>O3</f>
        <v>2019</v>
      </c>
      <c r="P74" s="124">
        <f>P3</f>
        <v>2020</v>
      </c>
      <c r="Q74" s="124">
        <f>Q3</f>
        <v>2021</v>
      </c>
    </row>
    <row r="75" spans="1:18" x14ac:dyDescent="0.2">
      <c r="A75" s="94"/>
      <c r="B75" s="89" t="s">
        <v>150</v>
      </c>
      <c r="C75" s="94"/>
      <c r="D75" s="160">
        <f>E53</f>
        <v>9408.6152785399627</v>
      </c>
      <c r="E75" s="157">
        <f>E30+E50</f>
        <v>-18.924655040000005</v>
      </c>
      <c r="F75" s="157">
        <f>F30+F50</f>
        <v>-56.540765759999992</v>
      </c>
      <c r="G75" s="157">
        <f>G30+G50</f>
        <v>-86.296869200000003</v>
      </c>
      <c r="H75" s="157">
        <f>H30+H50</f>
        <v>-111.05127049314123</v>
      </c>
      <c r="I75" s="157">
        <f>I30+I50</f>
        <v>62.759946188361027</v>
      </c>
      <c r="J75" s="157">
        <f>J30+J50</f>
        <v>344.04883684588833</v>
      </c>
      <c r="K75" s="157">
        <f>K30+K50</f>
        <v>946.16690100236269</v>
      </c>
      <c r="L75" s="157">
        <f>L30+L50</f>
        <v>1554.6796823841305</v>
      </c>
      <c r="M75" s="157">
        <f>M30+M50</f>
        <v>2102.1485261825478</v>
      </c>
      <c r="N75" s="157">
        <f>N30+N50</f>
        <v>2624.6641142994131</v>
      </c>
      <c r="O75" s="157">
        <f>O30+O50</f>
        <v>3086.1811795469603</v>
      </c>
      <c r="P75" s="157">
        <f>P30+P50</f>
        <v>3541.3692986934648</v>
      </c>
      <c r="Q75" s="157">
        <f>Q30+Q50</f>
        <v>3826.6004393924295</v>
      </c>
      <c r="R75" s="157">
        <f>R30+R50</f>
        <v>14917.54500124416</v>
      </c>
    </row>
    <row r="76" spans="1:18" x14ac:dyDescent="0.2">
      <c r="A76" s="94"/>
      <c r="B76" s="94" t="s">
        <v>151</v>
      </c>
      <c r="D76" s="158">
        <f>NPV(D77,F76:R76)+E76</f>
        <v>9302.5828774307829</v>
      </c>
      <c r="E76" s="157">
        <f>Project!E25</f>
        <v>-18.924655040000001</v>
      </c>
      <c r="F76" s="157">
        <f>Project!F25</f>
        <v>-56.540765759999992</v>
      </c>
      <c r="G76" s="157">
        <f>Project!G25</f>
        <v>-86.296869200000003</v>
      </c>
      <c r="H76" s="157">
        <f>Project!H25</f>
        <v>-111.87384548135806</v>
      </c>
      <c r="I76" s="157">
        <f>Project!I25</f>
        <v>57.772066751792181</v>
      </c>
      <c r="J76" s="157">
        <f>Project!J25</f>
        <v>328.4525065578124</v>
      </c>
      <c r="K76" s="157">
        <f>Project!K25</f>
        <v>926.47561394304614</v>
      </c>
      <c r="L76" s="157">
        <f>Project!L25</f>
        <v>1527.6395542681034</v>
      </c>
      <c r="M76" s="157">
        <f>Project!M25</f>
        <v>2068.5261577924548</v>
      </c>
      <c r="N76" s="157">
        <f>Project!N25</f>
        <v>2584.9090956888795</v>
      </c>
      <c r="O76" s="157">
        <f>Project!O25</f>
        <v>3040.7413428984951</v>
      </c>
      <c r="P76" s="157">
        <f>Project!P25</f>
        <v>3490.2630473458566</v>
      </c>
      <c r="Q76" s="157">
        <f>Project!Q25</f>
        <v>3772.1283116441145</v>
      </c>
      <c r="R76" s="157">
        <f>Project!R25</f>
        <v>14917.54500124416</v>
      </c>
    </row>
    <row r="77" spans="1:18" x14ac:dyDescent="0.2">
      <c r="A77" s="94"/>
      <c r="B77" s="94"/>
      <c r="C77" s="158"/>
      <c r="D77" s="159">
        <v>0.12</v>
      </c>
      <c r="E77" s="194">
        <f>E75-E76</f>
        <v>0</v>
      </c>
      <c r="F77" s="194">
        <f t="shared" ref="F77:O77" si="53">F75-F76</f>
        <v>0</v>
      </c>
      <c r="G77" s="194">
        <f t="shared" si="53"/>
        <v>0</v>
      </c>
      <c r="H77" s="194">
        <f t="shared" si="53"/>
        <v>0.82257498821682873</v>
      </c>
      <c r="I77" s="194">
        <f t="shared" si="53"/>
        <v>4.9878794365688464</v>
      </c>
      <c r="J77" s="194">
        <f t="shared" si="53"/>
        <v>15.596330288075933</v>
      </c>
      <c r="K77" s="194">
        <f t="shared" si="53"/>
        <v>19.691287059316551</v>
      </c>
      <c r="L77" s="194">
        <f t="shared" si="53"/>
        <v>27.040128116027063</v>
      </c>
      <c r="M77" s="194">
        <f t="shared" si="53"/>
        <v>33.622368390093015</v>
      </c>
      <c r="N77" s="194">
        <f t="shared" si="53"/>
        <v>39.755018610533625</v>
      </c>
      <c r="O77" s="194">
        <f t="shared" si="53"/>
        <v>45.439836648465189</v>
      </c>
      <c r="P77" s="194">
        <f>P75-P76</f>
        <v>51.106251347608122</v>
      </c>
      <c r="Q77" s="194">
        <f>Q75-Q76</f>
        <v>54.472127748314961</v>
      </c>
      <c r="R77" s="194">
        <f>R75-R76</f>
        <v>0</v>
      </c>
    </row>
    <row r="78" spans="1:18" x14ac:dyDescent="0.2">
      <c r="A78" s="95"/>
      <c r="B78" s="95"/>
      <c r="C78" s="65"/>
      <c r="D78" s="132"/>
      <c r="E78" s="132"/>
      <c r="F78" s="133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21"/>
    </row>
    <row r="79" spans="1:18" x14ac:dyDescent="0.2">
      <c r="A79" s="107" t="s">
        <v>120</v>
      </c>
      <c r="E79" s="488">
        <f>E3</f>
        <v>2009</v>
      </c>
      <c r="F79" s="124">
        <f t="shared" ref="F79:Q79" si="54">F74</f>
        <v>2010</v>
      </c>
      <c r="G79" s="124">
        <f t="shared" si="54"/>
        <v>2011</v>
      </c>
      <c r="H79" s="124">
        <f t="shared" si="54"/>
        <v>2012</v>
      </c>
      <c r="I79" s="124">
        <f t="shared" si="54"/>
        <v>2013</v>
      </c>
      <c r="J79" s="124">
        <f t="shared" si="54"/>
        <v>2014</v>
      </c>
      <c r="K79" s="124">
        <f t="shared" si="54"/>
        <v>2015</v>
      </c>
      <c r="L79" s="124">
        <f t="shared" si="54"/>
        <v>2016</v>
      </c>
      <c r="M79" s="124">
        <f t="shared" si="54"/>
        <v>2017</v>
      </c>
      <c r="N79" s="124">
        <f t="shared" si="54"/>
        <v>2018</v>
      </c>
      <c r="O79" s="124">
        <f t="shared" si="54"/>
        <v>2019</v>
      </c>
      <c r="P79" s="124">
        <f t="shared" si="54"/>
        <v>2020</v>
      </c>
      <c r="Q79" s="124">
        <f t="shared" si="54"/>
        <v>2021</v>
      </c>
    </row>
    <row r="80" spans="1:18" x14ac:dyDescent="0.2">
      <c r="C80" s="100" t="s">
        <v>125</v>
      </c>
      <c r="F80" s="128">
        <f>E50</f>
        <v>147.55000000000001</v>
      </c>
      <c r="G80" s="128">
        <f>F50</f>
        <v>32.300000000000004</v>
      </c>
      <c r="H80" s="128">
        <f>G50</f>
        <v>-3.3500000000000085</v>
      </c>
      <c r="I80" s="128">
        <f>H50</f>
        <v>65.597831629316346</v>
      </c>
      <c r="J80" s="128">
        <f>I50</f>
        <v>193.01241451878923</v>
      </c>
      <c r="K80" s="128">
        <f>J50</f>
        <v>629.45442619401047</v>
      </c>
      <c r="L80" s="128">
        <f>K50</f>
        <v>729.29965988686013</v>
      </c>
      <c r="M80" s="128">
        <f>L50</f>
        <v>797.67237414809711</v>
      </c>
      <c r="N80" s="128">
        <f>M50</f>
        <v>1018.2433454084758</v>
      </c>
      <c r="O80" s="128">
        <f>N50</f>
        <v>1254.2523864931993</v>
      </c>
      <c r="P80" s="128">
        <f>O50</f>
        <v>1450.9860752986601</v>
      </c>
      <c r="Q80" s="128">
        <f>Q50</f>
        <v>1793.6975891127051</v>
      </c>
      <c r="R80" s="128">
        <f>R50</f>
        <v>0</v>
      </c>
    </row>
    <row r="81" spans="1:18" x14ac:dyDescent="0.2">
      <c r="C81" s="100" t="s">
        <v>123</v>
      </c>
      <c r="F81" s="155">
        <f>-'Lor Financials'!D44</f>
        <v>-17.193999999999999</v>
      </c>
      <c r="H81" s="100"/>
      <c r="I81" s="100"/>
      <c r="J81" s="100"/>
      <c r="K81" s="100"/>
      <c r="L81" s="100"/>
      <c r="M81" s="100"/>
      <c r="N81" s="100"/>
      <c r="O81" s="100"/>
      <c r="P81" s="100"/>
      <c r="Q81" s="100"/>
    </row>
    <row r="82" spans="1:18" x14ac:dyDescent="0.2">
      <c r="C82" s="100" t="s">
        <v>124</v>
      </c>
      <c r="F82" s="155">
        <f t="shared" ref="F82:P82" si="55">F80+F81</f>
        <v>130.35600000000002</v>
      </c>
      <c r="G82" s="155">
        <f t="shared" si="55"/>
        <v>32.300000000000004</v>
      </c>
      <c r="H82" s="155">
        <f t="shared" si="55"/>
        <v>-3.3500000000000085</v>
      </c>
      <c r="I82" s="155">
        <f t="shared" si="55"/>
        <v>65.597831629316346</v>
      </c>
      <c r="J82" s="155">
        <f t="shared" si="55"/>
        <v>193.01241451878923</v>
      </c>
      <c r="K82" s="155">
        <f t="shared" si="55"/>
        <v>629.45442619401047</v>
      </c>
      <c r="L82" s="155">
        <f t="shared" si="55"/>
        <v>729.29965988686013</v>
      </c>
      <c r="M82" s="155">
        <f t="shared" si="55"/>
        <v>797.67237414809711</v>
      </c>
      <c r="N82" s="155">
        <f t="shared" si="55"/>
        <v>1018.2433454084758</v>
      </c>
      <c r="O82" s="155">
        <f t="shared" si="55"/>
        <v>1254.2523864931993</v>
      </c>
      <c r="P82" s="155">
        <f t="shared" si="55"/>
        <v>1450.9860752986601</v>
      </c>
      <c r="Q82" s="155">
        <f t="shared" ref="Q82" si="56">Q80+Q81</f>
        <v>1793.6975891127051</v>
      </c>
      <c r="R82" s="155">
        <f>R80+R81</f>
        <v>0</v>
      </c>
    </row>
    <row r="83" spans="1:18" x14ac:dyDescent="0.2">
      <c r="A83" s="21"/>
      <c r="B83" s="21"/>
      <c r="C83" s="21"/>
      <c r="D83" s="21"/>
      <c r="E83" s="21"/>
      <c r="F83" s="165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</row>
    <row r="84" spans="1:18" x14ac:dyDescent="0.2">
      <c r="A84" s="107" t="s">
        <v>118</v>
      </c>
      <c r="B84" s="92"/>
      <c r="C84" s="108"/>
      <c r="D84" s="112" t="s">
        <v>18</v>
      </c>
      <c r="E84" s="207">
        <f t="shared" ref="E84:Q84" si="57">E79</f>
        <v>2009</v>
      </c>
      <c r="F84" s="207">
        <f t="shared" si="57"/>
        <v>2010</v>
      </c>
      <c r="G84" s="207">
        <f t="shared" si="57"/>
        <v>2011</v>
      </c>
      <c r="H84" s="207">
        <f t="shared" si="57"/>
        <v>2012</v>
      </c>
      <c r="I84" s="207">
        <f t="shared" si="57"/>
        <v>2013</v>
      </c>
      <c r="J84" s="207">
        <f t="shared" si="57"/>
        <v>2014</v>
      </c>
      <c r="K84" s="207">
        <f t="shared" si="57"/>
        <v>2015</v>
      </c>
      <c r="L84" s="207">
        <f t="shared" si="57"/>
        <v>2016</v>
      </c>
      <c r="M84" s="207">
        <f t="shared" si="57"/>
        <v>2017</v>
      </c>
      <c r="N84" s="207">
        <f t="shared" si="57"/>
        <v>2018</v>
      </c>
      <c r="O84" s="207">
        <f t="shared" si="57"/>
        <v>2019</v>
      </c>
      <c r="P84" s="207">
        <f t="shared" si="57"/>
        <v>2020</v>
      </c>
      <c r="Q84" s="207">
        <f t="shared" si="57"/>
        <v>2021</v>
      </c>
    </row>
    <row r="85" spans="1:18" x14ac:dyDescent="0.2">
      <c r="A85" s="109"/>
      <c r="B85" s="92" t="s">
        <v>199</v>
      </c>
      <c r="C85" s="92"/>
      <c r="D85" s="94" t="s">
        <v>116</v>
      </c>
      <c r="E85" s="124">
        <v>30</v>
      </c>
      <c r="F85" s="125">
        <f>F4/365*$E$85</f>
        <v>0</v>
      </c>
      <c r="G85" s="125">
        <f>G4/365*$E$85</f>
        <v>0</v>
      </c>
      <c r="H85" s="125">
        <f>H4/365*$E$85</f>
        <v>5.8492466936081202</v>
      </c>
      <c r="I85" s="125">
        <f>I4/365*$E$85</f>
        <v>36.510781835436987</v>
      </c>
      <c r="J85" s="125">
        <f>J4/365*$E$85</f>
        <v>85.50903790232951</v>
      </c>
      <c r="K85" s="125">
        <f>K4/365*$E$85</f>
        <v>152.82454763054614</v>
      </c>
      <c r="L85" s="125">
        <f>L4/365*$E$85</f>
        <v>204.72149907629154</v>
      </c>
      <c r="M85" s="125">
        <f>M4/365*$E$85</f>
        <v>251.96285282747837</v>
      </c>
      <c r="N85" s="125">
        <f>N4/365*$E$85</f>
        <v>298.79098795771546</v>
      </c>
      <c r="O85" s="125">
        <f>O4/365*$E$85</f>
        <v>340.06986532397906</v>
      </c>
      <c r="P85" s="125">
        <f>P4/365*$E$85</f>
        <v>382.30175025045497</v>
      </c>
      <c r="Q85" s="125">
        <f>Q4/365*$E$85</f>
        <v>408.69986304778519</v>
      </c>
    </row>
    <row r="86" spans="1:18" x14ac:dyDescent="0.2">
      <c r="A86" s="109"/>
      <c r="B86" s="92" t="s">
        <v>15</v>
      </c>
      <c r="C86" s="92"/>
      <c r="D86" s="94" t="s">
        <v>655</v>
      </c>
      <c r="E86" s="124">
        <v>90</v>
      </c>
      <c r="F86" s="125">
        <f>(F7+F14)/365*$E$86</f>
        <v>0</v>
      </c>
      <c r="G86" s="125">
        <f>(G7+G14)/365*$E$86</f>
        <v>0</v>
      </c>
      <c r="H86" s="125">
        <f>(H7+H14)/365*$E$86</f>
        <v>0.81130683769329726</v>
      </c>
      <c r="I86" s="125">
        <f>(I7+I14)/365*$E$86</f>
        <v>6.1494404012491897</v>
      </c>
      <c r="J86" s="125">
        <f>(J7+J14)/365*$E$86</f>
        <v>19.228352409956546</v>
      </c>
      <c r="K86" s="125">
        <f>(K7+K14)/365*$E$86</f>
        <v>24.276929251212387</v>
      </c>
      <c r="L86" s="125">
        <f>(L7+L14)/365*$E$86</f>
        <v>33.337144252636115</v>
      </c>
      <c r="M86" s="125">
        <f>(M7+M14)/365*$E$86</f>
        <v>41.452235001483857</v>
      </c>
      <c r="N86" s="125">
        <f>(N7+N14)/365*$E$86</f>
        <v>49.013036643124366</v>
      </c>
      <c r="O86" s="125">
        <f>(O7+O14)/365*$E$86</f>
        <v>56.021716415916529</v>
      </c>
      <c r="P86" s="125">
        <f>(P7+P14)/365*$E$86</f>
        <v>63.007707140886936</v>
      </c>
      <c r="Q86" s="125">
        <f>(Q7+Q14)/365*$E$86</f>
        <v>67.157417771895055</v>
      </c>
    </row>
    <row r="87" spans="1:18" x14ac:dyDescent="0.2">
      <c r="A87" s="85"/>
      <c r="B87" s="92" t="s">
        <v>17</v>
      </c>
      <c r="C87" s="92"/>
      <c r="D87" s="94" t="s">
        <v>117</v>
      </c>
      <c r="E87" s="124">
        <v>30</v>
      </c>
      <c r="F87" s="864">
        <f>-F91/365*$E$87</f>
        <v>-4.4252684186301368</v>
      </c>
      <c r="G87" s="864">
        <f t="shared" ref="G87:Q87" si="58">-G91/365*$E$87</f>
        <v>-6.8175508931506847</v>
      </c>
      <c r="H87" s="864">
        <f t="shared" si="58"/>
        <v>-15.577367419875817</v>
      </c>
      <c r="I87" s="864">
        <f t="shared" si="58"/>
        <v>-41.468020559895969</v>
      </c>
      <c r="J87" s="864">
        <f t="shared" si="58"/>
        <v>-75.845251976938528</v>
      </c>
      <c r="K87" s="864">
        <f t="shared" si="58"/>
        <v>-112.52397148708701</v>
      </c>
      <c r="L87" s="864">
        <f t="shared" si="58"/>
        <v>-131.38933889962016</v>
      </c>
      <c r="M87" s="864">
        <f t="shared" si="58"/>
        <v>-149.05734411039333</v>
      </c>
      <c r="N87" s="864">
        <f t="shared" si="58"/>
        <v>-169.81672870903998</v>
      </c>
      <c r="O87" s="864">
        <f t="shared" si="58"/>
        <v>-186.99636224255752</v>
      </c>
      <c r="P87" s="864">
        <f t="shared" si="58"/>
        <v>-206.45572738132606</v>
      </c>
      <c r="Q87" s="864">
        <f t="shared" si="58"/>
        <v>-219.22615162137703</v>
      </c>
    </row>
    <row r="88" spans="1:18" x14ac:dyDescent="0.2">
      <c r="A88" s="85"/>
      <c r="B88" s="110" t="s">
        <v>104</v>
      </c>
      <c r="C88" s="110"/>
      <c r="D88" s="110"/>
      <c r="E88" s="89"/>
      <c r="F88" s="865">
        <f t="shared" ref="F88:K88" si="59">F86+F85+F87</f>
        <v>-4.4252684186301368</v>
      </c>
      <c r="G88" s="865">
        <f t="shared" si="59"/>
        <v>-6.8175508931506847</v>
      </c>
      <c r="H88" s="865">
        <f t="shared" si="59"/>
        <v>-8.9168138885743993</v>
      </c>
      <c r="I88" s="865">
        <f t="shared" si="59"/>
        <v>1.1922016767902051</v>
      </c>
      <c r="J88" s="865">
        <f t="shared" si="59"/>
        <v>28.892138335347525</v>
      </c>
      <c r="K88" s="865">
        <f t="shared" si="59"/>
        <v>64.577505394671505</v>
      </c>
      <c r="L88" s="865">
        <f t="shared" ref="L88:Q88" si="60">L86+L85+L87</f>
        <v>106.66930442930749</v>
      </c>
      <c r="M88" s="865">
        <f t="shared" si="60"/>
        <v>144.35774371856888</v>
      </c>
      <c r="N88" s="865">
        <f t="shared" si="60"/>
        <v>177.98729589179987</v>
      </c>
      <c r="O88" s="865">
        <f t="shared" si="60"/>
        <v>209.09521949733804</v>
      </c>
      <c r="P88" s="865">
        <f t="shared" si="60"/>
        <v>238.85373001001582</v>
      </c>
      <c r="Q88" s="865">
        <f t="shared" si="60"/>
        <v>256.6311291983032</v>
      </c>
    </row>
    <row r="89" spans="1:18" x14ac:dyDescent="0.2">
      <c r="A89" s="85"/>
      <c r="B89" s="110" t="s">
        <v>21</v>
      </c>
      <c r="C89" s="111"/>
      <c r="D89" s="110"/>
      <c r="E89" s="89"/>
      <c r="F89" s="115">
        <f>D88-F88</f>
        <v>4.4252684186301368</v>
      </c>
      <c r="G89" s="115">
        <f>E88-G88</f>
        <v>6.8175508931506847</v>
      </c>
      <c r="H89" s="115">
        <f>G88-H88</f>
        <v>2.0992629954237145</v>
      </c>
      <c r="I89" s="115">
        <f>H88-I88</f>
        <v>-10.109015565364604</v>
      </c>
      <c r="J89" s="115">
        <f t="shared" ref="J89:O89" si="61">I88-J88</f>
        <v>-27.69993665855732</v>
      </c>
      <c r="K89" s="115">
        <f t="shared" si="61"/>
        <v>-35.68536705932398</v>
      </c>
      <c r="L89" s="115">
        <f t="shared" si="61"/>
        <v>-42.091799034635983</v>
      </c>
      <c r="M89" s="115">
        <f t="shared" si="61"/>
        <v>-37.688439289261396</v>
      </c>
      <c r="N89" s="115">
        <f t="shared" si="61"/>
        <v>-33.629552173230991</v>
      </c>
      <c r="O89" s="115">
        <f t="shared" si="61"/>
        <v>-31.107923605538161</v>
      </c>
      <c r="P89" s="115">
        <f>O88-P88</f>
        <v>-29.758510512677788</v>
      </c>
      <c r="Q89" s="115">
        <f>P88-Q88</f>
        <v>-17.777399188287376</v>
      </c>
    </row>
    <row r="90" spans="1:18" x14ac:dyDescent="0.2">
      <c r="A90" s="85"/>
      <c r="B90" s="85"/>
      <c r="C90" s="116" t="s">
        <v>271</v>
      </c>
      <c r="D90" s="85"/>
      <c r="E90" s="85"/>
      <c r="F90" s="117"/>
      <c r="G90" s="117"/>
      <c r="H90" s="117"/>
      <c r="I90" s="117">
        <f>I89/I4</f>
        <v>-2.275705832372402E-2</v>
      </c>
      <c r="J90" s="117">
        <f>J89/J4</f>
        <v>-2.6625339010616159E-2</v>
      </c>
      <c r="K90" s="117">
        <f>K89/K4</f>
        <v>-1.9192230000773733E-2</v>
      </c>
      <c r="L90" s="117">
        <f>L89/L4</f>
        <v>-1.6899055234866941E-2</v>
      </c>
      <c r="M90" s="117">
        <f>M89/M4</f>
        <v>-1.2294193000363204E-2</v>
      </c>
      <c r="N90" s="117">
        <f>N89/N4</f>
        <v>-9.2508572639835428E-3</v>
      </c>
      <c r="O90" s="117">
        <f>O89/O4</f>
        <v>-7.5185010479406015E-3</v>
      </c>
      <c r="P90" s="117">
        <f>P89/P4</f>
        <v>-6.3978388067603116E-3</v>
      </c>
      <c r="Q90" s="117">
        <f>Q89/Q4</f>
        <v>-3.5751323398330015E-3</v>
      </c>
    </row>
    <row r="91" spans="1:18" x14ac:dyDescent="0.2">
      <c r="A91" s="21"/>
      <c r="B91" s="21"/>
      <c r="C91" s="396" t="s">
        <v>653</v>
      </c>
      <c r="D91" s="21"/>
      <c r="E91" s="21"/>
      <c r="F91" s="863">
        <f>F8+F10+F15+F17+F19+F20+F23+F24+F25</f>
        <v>53.840765759999996</v>
      </c>
      <c r="G91" s="863">
        <f>G8+G10+G15+G17+G19+G20+G23+G24+G25</f>
        <v>82.946869199999995</v>
      </c>
      <c r="H91" s="863">
        <f>H8+H10+H15+H17+H19+H20+H23+H24+H25</f>
        <v>189.52463694182245</v>
      </c>
      <c r="I91" s="863">
        <f>I8+I10+I15+I17+I19+I20+I23+I24+I25</f>
        <v>504.5275834787343</v>
      </c>
      <c r="J91" s="863">
        <f>J8+J10+J15+J17+J19+J20+J23+J24+J25</f>
        <v>922.78389905275196</v>
      </c>
      <c r="K91" s="863">
        <f>K8+K10+K15+K17+K19+K20+K23+K24+K25</f>
        <v>1369.0416530928919</v>
      </c>
      <c r="L91" s="863">
        <f>L8+L10+L15+L17+L19+L20+L23+L24+L25</f>
        <v>1598.5702899453786</v>
      </c>
      <c r="M91" s="863">
        <f>M8+M10+M15+M17+M19+M20+M23+M24+M25</f>
        <v>1813.5310200097856</v>
      </c>
      <c r="N91" s="863">
        <f>N8+N10+N15+N17+N19+N20+N23+N24+N25</f>
        <v>2066.1035326266529</v>
      </c>
      <c r="O91" s="863">
        <f>O8+O10+O15+O17+O19+O20+O23+O24+O25</f>
        <v>2275.1224072844498</v>
      </c>
      <c r="P91" s="863">
        <f>P8+P10+P15+P17+P19+P20+P23+P24+P25</f>
        <v>2511.8780164728005</v>
      </c>
      <c r="Q91" s="863">
        <f>Q8+Q10+Q15+Q17+Q19+Q20+Q23+Q24+Q25</f>
        <v>2667.2515113934205</v>
      </c>
    </row>
    <row r="92" spans="1:18" x14ac:dyDescent="0.2">
      <c r="A92" s="107" t="s">
        <v>119</v>
      </c>
      <c r="B92" s="92"/>
      <c r="C92" s="108"/>
      <c r="D92" s="112" t="s">
        <v>18</v>
      </c>
      <c r="E92" s="97">
        <f t="shared" ref="E92" si="62">E84</f>
        <v>2009</v>
      </c>
      <c r="F92" s="97">
        <f t="shared" ref="F92:Q92" si="63">F84</f>
        <v>2010</v>
      </c>
      <c r="G92" s="97">
        <f t="shared" si="63"/>
        <v>2011</v>
      </c>
      <c r="H92" s="97">
        <f t="shared" si="63"/>
        <v>2012</v>
      </c>
      <c r="I92" s="97">
        <f t="shared" si="63"/>
        <v>2013</v>
      </c>
      <c r="J92" s="97">
        <f t="shared" si="63"/>
        <v>2014</v>
      </c>
      <c r="K92" s="97">
        <f t="shared" si="63"/>
        <v>2015</v>
      </c>
      <c r="L92" s="97">
        <f t="shared" si="63"/>
        <v>2016</v>
      </c>
      <c r="M92" s="97">
        <f t="shared" si="63"/>
        <v>2017</v>
      </c>
      <c r="N92" s="97">
        <f t="shared" si="63"/>
        <v>2018</v>
      </c>
      <c r="O92" s="97">
        <f t="shared" si="63"/>
        <v>2019</v>
      </c>
      <c r="P92" s="97">
        <f t="shared" si="63"/>
        <v>2020</v>
      </c>
      <c r="Q92" s="97">
        <f t="shared" si="63"/>
        <v>2021</v>
      </c>
    </row>
    <row r="93" spans="1:18" x14ac:dyDescent="0.2">
      <c r="A93" s="109"/>
      <c r="B93" s="92" t="s">
        <v>16</v>
      </c>
      <c r="C93" s="92"/>
      <c r="D93" s="94" t="s">
        <v>116</v>
      </c>
      <c r="E93" s="124">
        <v>30</v>
      </c>
      <c r="F93" s="125">
        <f>F40/365*$E$93</f>
        <v>2.8767123287671232</v>
      </c>
      <c r="G93" s="125">
        <f>G40/365*$E$93</f>
        <v>0</v>
      </c>
      <c r="H93" s="125">
        <f>H40/365*$E$93</f>
        <v>6.7934408245470266</v>
      </c>
      <c r="I93" s="125">
        <f>I40/365*$E$93</f>
        <v>19.61735223907943</v>
      </c>
      <c r="J93" s="125">
        <f>J40/365*$E$93</f>
        <v>58.044440083704238</v>
      </c>
      <c r="K93" s="125">
        <f>K40/365*$E$93</f>
        <v>68.95016021981445</v>
      </c>
      <c r="L93" s="125">
        <f>L40/365*$E$93</f>
        <v>75.593268130071124</v>
      </c>
      <c r="M93" s="125">
        <f>M40/365*$E$93</f>
        <v>95.103677155705981</v>
      </c>
      <c r="N93" s="125">
        <f>N40/365*$E$93</f>
        <v>115.7946494812674</v>
      </c>
      <c r="O93" s="125">
        <f>O40/365*$E$93</f>
        <v>133.07234847461896</v>
      </c>
      <c r="P93" s="125">
        <f>P40/365*$E$93</f>
        <v>151.26475706559324</v>
      </c>
      <c r="Q93" s="125">
        <f>Q40/365*$E$93</f>
        <v>163.2432379217243</v>
      </c>
    </row>
    <row r="94" spans="1:18" x14ac:dyDescent="0.2">
      <c r="A94" s="109"/>
      <c r="B94" s="92" t="s">
        <v>15</v>
      </c>
      <c r="C94" s="92"/>
      <c r="D94" s="94" t="s">
        <v>655</v>
      </c>
      <c r="E94" s="124">
        <v>90</v>
      </c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</row>
    <row r="95" spans="1:18" x14ac:dyDescent="0.2">
      <c r="A95" s="85"/>
      <c r="B95" s="92" t="s">
        <v>17</v>
      </c>
      <c r="C95" s="92"/>
      <c r="D95" s="94" t="s">
        <v>117</v>
      </c>
      <c r="E95" s="124">
        <v>30</v>
      </c>
      <c r="F95" s="122">
        <f>-(F45+F44+F43+F41)/365*$E$95</f>
        <v>-0.22191780821917773</v>
      </c>
      <c r="G95" s="122">
        <f>-(G45+G44+G43+G41)/365*$E$95</f>
        <v>-0.27534246575342536</v>
      </c>
      <c r="H95" s="122">
        <f>-(H45+H44+H43+H41)/365*$E$95</f>
        <v>-1.4694471280182981</v>
      </c>
      <c r="I95" s="122">
        <f>-(I45+I44+I43+I41)/365*$E$95</f>
        <v>-4.163280862458576</v>
      </c>
      <c r="J95" s="122">
        <f>-(J45+J44+J43+J41)/365*$E$95</f>
        <v>-7.5903500092438678</v>
      </c>
      <c r="K95" s="122">
        <f>-(K45+K44+K43+K41)/365*$E$95</f>
        <v>-10.62618437097527</v>
      </c>
      <c r="L95" s="122">
        <f>-(L45+L44+L43+L41)/365*$E$95</f>
        <v>-12.253631469900977</v>
      </c>
      <c r="M95" s="122">
        <f>-(M45+M44+M43+M41)/365*$E$95</f>
        <v>-14.175925619948449</v>
      </c>
      <c r="N95" s="122">
        <f>-(N45+N44+N43+N41)/365*$E$95</f>
        <v>-15.9729480114593</v>
      </c>
      <c r="O95" s="122">
        <f>-(O45+O44+O43+O41)/365*$E$95</f>
        <v>-17.548000092411218</v>
      </c>
      <c r="P95" s="122">
        <f>-(P45+P44+P43+P41)/365*$E$95</f>
        <v>-19.237275489470253</v>
      </c>
      <c r="Q95" s="122">
        <f>-(Q45+Q44+Q43+Q41)/365*$E$95</f>
        <v>-20.293200001363463</v>
      </c>
    </row>
    <row r="96" spans="1:18" x14ac:dyDescent="0.2">
      <c r="A96" s="85"/>
      <c r="B96" s="110" t="s">
        <v>104</v>
      </c>
      <c r="C96" s="110"/>
      <c r="D96" s="110"/>
      <c r="E96" s="110"/>
      <c r="F96" s="115">
        <f>F94+F93+F95</f>
        <v>2.6547945205479455</v>
      </c>
      <c r="G96" s="115">
        <f>G94+G93+G95</f>
        <v>-0.27534246575342536</v>
      </c>
      <c r="H96" s="115">
        <f t="shared" ref="H96:O96" si="64">H94+H93+H95</f>
        <v>5.3239936965287287</v>
      </c>
      <c r="I96" s="115">
        <f t="shared" si="64"/>
        <v>15.454071376620854</v>
      </c>
      <c r="J96" s="115">
        <f t="shared" si="64"/>
        <v>50.454090074460368</v>
      </c>
      <c r="K96" s="115">
        <f t="shared" si="64"/>
        <v>58.323975848839183</v>
      </c>
      <c r="L96" s="115">
        <f t="shared" si="64"/>
        <v>63.339636660170143</v>
      </c>
      <c r="M96" s="115">
        <f t="shared" si="64"/>
        <v>80.927751535757537</v>
      </c>
      <c r="N96" s="115">
        <f t="shared" si="64"/>
        <v>99.821701469808104</v>
      </c>
      <c r="O96" s="115">
        <f t="shared" si="64"/>
        <v>115.52434838220775</v>
      </c>
      <c r="P96" s="115">
        <f>P94+P93+P95</f>
        <v>132.02748157612299</v>
      </c>
      <c r="Q96" s="115">
        <f>Q94+Q93+Q95</f>
        <v>142.95003792036084</v>
      </c>
    </row>
    <row r="97" spans="1:17" x14ac:dyDescent="0.2">
      <c r="A97" s="85"/>
      <c r="B97" s="110" t="s">
        <v>21</v>
      </c>
      <c r="C97" s="111"/>
      <c r="D97" s="110"/>
      <c r="E97" s="110"/>
      <c r="F97" s="115">
        <f t="shared" ref="F97:O97" si="65">E96-F96</f>
        <v>-2.6547945205479455</v>
      </c>
      <c r="G97" s="115">
        <f t="shared" si="65"/>
        <v>2.9301369863013709</v>
      </c>
      <c r="H97" s="115">
        <f t="shared" si="65"/>
        <v>-5.599336162282154</v>
      </c>
      <c r="I97" s="115">
        <f t="shared" si="65"/>
        <v>-10.130077680092125</v>
      </c>
      <c r="J97" s="115">
        <f t="shared" si="65"/>
        <v>-35.000018697839515</v>
      </c>
      <c r="K97" s="115">
        <f t="shared" si="65"/>
        <v>-7.8698857743788153</v>
      </c>
      <c r="L97" s="115">
        <f t="shared" si="65"/>
        <v>-5.0156608113309602</v>
      </c>
      <c r="M97" s="115">
        <f t="shared" si="65"/>
        <v>-17.588114875587394</v>
      </c>
      <c r="N97" s="115">
        <f t="shared" si="65"/>
        <v>-18.893949934050568</v>
      </c>
      <c r="O97" s="115">
        <f t="shared" si="65"/>
        <v>-15.702646912399643</v>
      </c>
      <c r="P97" s="115">
        <f>O96-P96</f>
        <v>-16.503133193915247</v>
      </c>
      <c r="Q97" s="115">
        <f>P96-Q96</f>
        <v>-10.922556344237847</v>
      </c>
    </row>
    <row r="98" spans="1:17" x14ac:dyDescent="0.2">
      <c r="A98" s="92"/>
      <c r="B98" s="108"/>
      <c r="C98" s="116" t="s">
        <v>271</v>
      </c>
      <c r="D98" s="126"/>
      <c r="E98" s="126"/>
      <c r="F98" s="123"/>
      <c r="G98" s="123"/>
      <c r="H98" s="123">
        <f>H97/H40</f>
        <v>-6.7744670555692929E-2</v>
      </c>
      <c r="I98" s="123">
        <f>I97/I40</f>
        <v>-4.2442482259787612E-2</v>
      </c>
      <c r="J98" s="123">
        <f>J97/J40</f>
        <v>-4.9560541223714505E-2</v>
      </c>
      <c r="K98" s="123">
        <f>K97/K40</f>
        <v>-9.381267927429526E-3</v>
      </c>
      <c r="L98" s="123">
        <f>L97/L40</f>
        <v>-5.4534762721550412E-3</v>
      </c>
      <c r="M98" s="123">
        <f>M97/M40</f>
        <v>-1.5200237531911867E-2</v>
      </c>
      <c r="N98" s="123">
        <f>N97/N40</f>
        <v>-1.3411046182155389E-2</v>
      </c>
      <c r="O98" s="123">
        <f>O97/O40</f>
        <v>-9.698697949965758E-3</v>
      </c>
      <c r="P98" s="123">
        <f>P97/P40</f>
        <v>-8.9672038131196046E-3</v>
      </c>
      <c r="Q98" s="123">
        <f>Q97/Q40</f>
        <v>-5.4994275321291804E-3</v>
      </c>
    </row>
    <row r="99" spans="1:17" x14ac:dyDescent="0.2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</row>
  </sheetData>
  <phoneticPr fontId="0" type="noConversion"/>
  <printOptions gridLines="1"/>
  <pageMargins left="0.75" right="0.75" top="1" bottom="1" header="0.5" footer="0.5"/>
  <pageSetup scale="62" orientation="landscape" horizontalDpi="300" verticalDpi="300" r:id="rId1"/>
  <headerFooter alignWithMargins="0">
    <oddFooter>&amp;L&amp;F&amp;A&amp;CPLG Copyright&amp;R&amp;D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1"/>
  <sheetViews>
    <sheetView zoomScale="90" zoomScaleNormal="90" workbookViewId="0"/>
  </sheetViews>
  <sheetFormatPr defaultRowHeight="12.75" customHeight="1" x14ac:dyDescent="0.25"/>
  <cols>
    <col min="1" max="1" width="2.5703125" style="993" customWidth="1"/>
    <col min="2" max="2" width="3.42578125" style="993" customWidth="1"/>
    <col min="3" max="3" width="42.5703125" style="993" customWidth="1"/>
    <col min="4" max="4" width="12.140625" style="993" customWidth="1"/>
    <col min="5" max="5" width="12" style="993" customWidth="1"/>
    <col min="6" max="8" width="9.7109375" style="993" customWidth="1"/>
    <col min="9" max="9" width="8.5703125" style="993" customWidth="1"/>
    <col min="10" max="10" width="8.7109375" style="993" customWidth="1"/>
    <col min="11" max="11" width="10.140625" style="993" customWidth="1"/>
    <col min="12" max="13" width="9.140625" style="993"/>
    <col min="14" max="14" width="9" style="993" customWidth="1"/>
    <col min="15" max="16384" width="9.140625" style="993"/>
  </cols>
  <sheetData>
    <row r="1" spans="1:14" ht="18" customHeight="1" x14ac:dyDescent="0.25">
      <c r="A1" s="992" t="s">
        <v>264</v>
      </c>
      <c r="D1" s="994"/>
      <c r="E1" s="994"/>
      <c r="F1" s="994"/>
      <c r="G1" s="994"/>
      <c r="H1" s="995"/>
      <c r="I1" s="996"/>
      <c r="J1" s="996"/>
      <c r="K1" s="996"/>
    </row>
    <row r="2" spans="1:14" ht="17.25" customHeight="1" x14ac:dyDescent="0.25">
      <c r="A2" s="989" t="s">
        <v>154</v>
      </c>
      <c r="B2" s="997"/>
      <c r="C2" s="998"/>
      <c r="D2" s="999">
        <f t="shared" ref="D2:F2" si="0">E2-1</f>
        <v>2005</v>
      </c>
      <c r="E2" s="999">
        <f t="shared" si="0"/>
        <v>2006</v>
      </c>
      <c r="F2" s="999">
        <f t="shared" si="0"/>
        <v>2007</v>
      </c>
      <c r="G2" s="999">
        <f>H2-1</f>
        <v>2008</v>
      </c>
      <c r="H2" s="999">
        <f>Control!M5</f>
        <v>2009</v>
      </c>
      <c r="I2" s="999">
        <f>H2+1</f>
        <v>2010</v>
      </c>
      <c r="J2" s="999">
        <f>I2+1</f>
        <v>2011</v>
      </c>
      <c r="K2" s="999">
        <f>J2+1</f>
        <v>2012</v>
      </c>
      <c r="L2" s="999">
        <f t="shared" ref="L2:N2" si="1">K2+1</f>
        <v>2013</v>
      </c>
      <c r="M2" s="999">
        <f t="shared" si="1"/>
        <v>2014</v>
      </c>
      <c r="N2" s="1000">
        <f t="shared" si="1"/>
        <v>2015</v>
      </c>
    </row>
    <row r="3" spans="1:14" ht="15" customHeight="1" x14ac:dyDescent="0.25">
      <c r="A3" s="991"/>
      <c r="B3" s="1001"/>
      <c r="C3" s="1002"/>
      <c r="D3" s="1065" t="s">
        <v>672</v>
      </c>
      <c r="E3" s="1066"/>
      <c r="F3" s="1066"/>
      <c r="G3" s="1067"/>
      <c r="H3" s="1065" t="s">
        <v>187</v>
      </c>
      <c r="I3" s="1066"/>
      <c r="J3" s="1066"/>
      <c r="K3" s="1066"/>
      <c r="L3" s="1066"/>
      <c r="M3" s="1066"/>
      <c r="N3" s="1067"/>
    </row>
    <row r="4" spans="1:14" ht="15" x14ac:dyDescent="0.25">
      <c r="A4" s="989"/>
      <c r="B4" s="905"/>
      <c r="C4" s="998" t="s">
        <v>180</v>
      </c>
      <c r="D4" s="1004"/>
      <c r="E4" s="1004"/>
      <c r="F4" s="1004"/>
      <c r="G4" s="1005">
        <v>225</v>
      </c>
      <c r="H4" s="1006">
        <f>Control!M40+Control!M41</f>
        <v>150</v>
      </c>
      <c r="I4" s="1006">
        <f>Control!N40+Control!N41</f>
        <v>35</v>
      </c>
      <c r="J4" s="1006">
        <f>Control!O40+Control!O41</f>
        <v>0</v>
      </c>
      <c r="K4" s="1006">
        <f>Control!P40+Control!P41</f>
        <v>62.116583477223216</v>
      </c>
      <c r="L4" s="1006">
        <f>Control!Q40+Control!Q41</f>
        <v>90.305741479738003</v>
      </c>
      <c r="M4" s="1006">
        <f>Control!R40+Control!R41</f>
        <v>446.65039456030127</v>
      </c>
      <c r="N4" s="1007">
        <f>Control!S40+Control!S41</f>
        <v>360.49845272079648</v>
      </c>
    </row>
    <row r="5" spans="1:14" ht="15" x14ac:dyDescent="0.25">
      <c r="A5" s="990"/>
      <c r="B5" s="803"/>
      <c r="C5" s="1008" t="s">
        <v>267</v>
      </c>
      <c r="D5" s="1004"/>
      <c r="E5" s="1004"/>
      <c r="F5" s="1004"/>
      <c r="G5" s="1004"/>
      <c r="H5" s="1004"/>
      <c r="I5" s="1004"/>
      <c r="J5" s="1004"/>
      <c r="K5" s="1004"/>
      <c r="L5" s="1004"/>
      <c r="M5" s="1004"/>
      <c r="N5" s="1009"/>
    </row>
    <row r="6" spans="1:14" ht="15.75" thickBot="1" x14ac:dyDescent="0.3">
      <c r="A6" s="990"/>
      <c r="B6" s="803"/>
      <c r="C6" s="1008" t="s">
        <v>181</v>
      </c>
      <c r="D6" s="1010">
        <v>0</v>
      </c>
      <c r="E6" s="1010">
        <v>0</v>
      </c>
      <c r="F6" s="1010">
        <v>0</v>
      </c>
      <c r="G6" s="1010">
        <f>G4+G5</f>
        <v>225</v>
      </c>
      <c r="H6" s="1010">
        <f>H4+H5</f>
        <v>150</v>
      </c>
      <c r="I6" s="1010">
        <f t="shared" ref="I6:N6" si="2">I4+I5</f>
        <v>35</v>
      </c>
      <c r="J6" s="1010">
        <f t="shared" si="2"/>
        <v>0</v>
      </c>
      <c r="K6" s="1010">
        <f t="shared" si="2"/>
        <v>62.116583477223216</v>
      </c>
      <c r="L6" s="1010">
        <f t="shared" si="2"/>
        <v>90.305741479738003</v>
      </c>
      <c r="M6" s="1010">
        <f t="shared" si="2"/>
        <v>446.65039456030127</v>
      </c>
      <c r="N6" s="1011">
        <f t="shared" si="2"/>
        <v>360.49845272079648</v>
      </c>
    </row>
    <row r="7" spans="1:14" ht="15.75" thickTop="1" x14ac:dyDescent="0.25">
      <c r="A7" s="1012"/>
      <c r="B7" s="1013" t="s">
        <v>182</v>
      </c>
      <c r="C7" s="1014"/>
      <c r="D7" s="1015"/>
      <c r="E7" s="1015"/>
      <c r="F7" s="1015"/>
      <c r="G7" s="1015"/>
      <c r="H7" s="1015"/>
      <c r="I7" s="1004"/>
      <c r="J7" s="1004"/>
      <c r="K7" s="1004"/>
      <c r="L7" s="1015"/>
      <c r="M7" s="1015"/>
      <c r="N7" s="1016"/>
    </row>
    <row r="8" spans="1:14" ht="15" x14ac:dyDescent="0.25">
      <c r="A8" s="1012"/>
      <c r="B8" s="674"/>
      <c r="C8" s="1017" t="s">
        <v>521</v>
      </c>
      <c r="D8" s="1004">
        <v>3.077</v>
      </c>
      <c r="E8" s="1004">
        <v>5.3840000000000003</v>
      </c>
      <c r="F8" s="1004">
        <v>11.468999999999999</v>
      </c>
      <c r="G8" s="1004">
        <v>31.390999999999998</v>
      </c>
      <c r="H8" s="1004">
        <v>56.6</v>
      </c>
      <c r="I8" s="1004">
        <v>44.584999999999994</v>
      </c>
      <c r="J8" s="1004">
        <v>26.204000000000001</v>
      </c>
      <c r="K8" s="1004">
        <v>21.354000000000003</v>
      </c>
      <c r="L8" s="1015">
        <v>36.14</v>
      </c>
      <c r="M8" s="1015">
        <v>61.063000000000002</v>
      </c>
      <c r="N8" s="1016">
        <v>59.070999999999998</v>
      </c>
    </row>
    <row r="9" spans="1:14" ht="15" x14ac:dyDescent="0.25">
      <c r="A9" s="1012"/>
      <c r="B9" s="1013"/>
      <c r="C9" s="1017" t="s">
        <v>522</v>
      </c>
      <c r="D9" s="1004">
        <v>0.26100000000000001</v>
      </c>
      <c r="E9" s="1004">
        <v>3.0202499999999999</v>
      </c>
      <c r="F9" s="1004">
        <v>2.6182499999999997</v>
      </c>
      <c r="G9" s="1004">
        <v>8.8445</v>
      </c>
      <c r="H9" s="1018">
        <f>'Lee &amp; Lor'!E43</f>
        <v>2.4499999999999993</v>
      </c>
      <c r="I9" s="1018">
        <f>'Lee &amp; Lor'!F43</f>
        <v>2.6999999999999957</v>
      </c>
      <c r="J9" s="1018">
        <f>'Lee &amp; Lor'!G43</f>
        <v>3.3500000000000085</v>
      </c>
      <c r="K9" s="1018">
        <f>'Lee &amp; Lor'!H43</f>
        <v>5.0316400000000101</v>
      </c>
      <c r="L9" s="1018">
        <f>'Lee &amp; Lor'!I43</f>
        <v>6.8846699999999998</v>
      </c>
      <c r="M9" s="1018">
        <f>'Lee &amp; Lor'!J43</f>
        <v>7.734860000000026</v>
      </c>
      <c r="N9" s="1019">
        <f>'Lee &amp; Lor'!K43</f>
        <v>6.9106299999999976</v>
      </c>
    </row>
    <row r="10" spans="1:14" ht="15" x14ac:dyDescent="0.25">
      <c r="A10" s="1012"/>
      <c r="B10" s="1013"/>
      <c r="C10" s="1017" t="s">
        <v>520</v>
      </c>
      <c r="D10" s="1004">
        <v>1.9339999999999999</v>
      </c>
      <c r="E10" s="1004">
        <v>3.42</v>
      </c>
      <c r="F10" s="1004">
        <v>9.3109999999999999</v>
      </c>
      <c r="G10" s="1004">
        <v>14.659000000000001</v>
      </c>
      <c r="H10" s="1004">
        <v>4.0999999999999996</v>
      </c>
      <c r="I10" s="1004">
        <v>4.1890000000000001</v>
      </c>
      <c r="J10" s="1004">
        <v>4.8929999999999998</v>
      </c>
      <c r="K10" s="1004">
        <v>7.1879999999999997</v>
      </c>
      <c r="L10" s="1015">
        <v>9.7360000000000007</v>
      </c>
      <c r="M10" s="1015">
        <v>19.888999999999999</v>
      </c>
      <c r="N10" s="1016">
        <v>26.86</v>
      </c>
    </row>
    <row r="11" spans="1:14" ht="15" x14ac:dyDescent="0.25">
      <c r="A11" s="1012"/>
      <c r="B11" s="1013"/>
      <c r="C11" s="1017" t="s">
        <v>343</v>
      </c>
      <c r="D11" s="988">
        <v>3.1429999999999998</v>
      </c>
      <c r="E11" s="988">
        <v>4.3209999999999997</v>
      </c>
      <c r="F11" s="988">
        <v>10.364000000000001</v>
      </c>
      <c r="G11" s="988">
        <v>21.864999999999998</v>
      </c>
      <c r="H11" s="988">
        <v>29</v>
      </c>
      <c r="I11" s="1004">
        <v>23</v>
      </c>
      <c r="J11" s="1004">
        <v>13</v>
      </c>
      <c r="K11" s="1004">
        <v>10</v>
      </c>
      <c r="L11" s="1004">
        <v>18</v>
      </c>
      <c r="M11" s="1004">
        <v>30</v>
      </c>
      <c r="N11" s="1009">
        <v>30</v>
      </c>
    </row>
    <row r="12" spans="1:14" ht="15" x14ac:dyDescent="0.25">
      <c r="A12" s="1012"/>
      <c r="B12" s="1013"/>
      <c r="C12" s="1017" t="s">
        <v>186</v>
      </c>
      <c r="D12" s="1020">
        <f>SUM(D8:D11)</f>
        <v>8.4149999999999991</v>
      </c>
      <c r="E12" s="1020">
        <f>SUM(E8:E11)</f>
        <v>16.145250000000001</v>
      </c>
      <c r="F12" s="1020">
        <f>SUM(F8:F11)</f>
        <v>33.762249999999995</v>
      </c>
      <c r="G12" s="1020">
        <f>SUM(G8:G11)</f>
        <v>76.759500000000003</v>
      </c>
      <c r="H12" s="1020">
        <f t="shared" ref="H12" si="3">SUM(H8:H11)</f>
        <v>92.15</v>
      </c>
      <c r="I12" s="1020">
        <f t="shared" ref="I12:N12" si="4">SUM(I8:I11)</f>
        <v>74.47399999999999</v>
      </c>
      <c r="J12" s="1020">
        <f t="shared" si="4"/>
        <v>47.44700000000001</v>
      </c>
      <c r="K12" s="1020">
        <f t="shared" si="4"/>
        <v>43.573640000000012</v>
      </c>
      <c r="L12" s="1020">
        <f t="shared" si="4"/>
        <v>70.760670000000005</v>
      </c>
      <c r="M12" s="1020">
        <f t="shared" si="4"/>
        <v>118.68686000000002</v>
      </c>
      <c r="N12" s="1021">
        <f t="shared" si="4"/>
        <v>122.84162999999999</v>
      </c>
    </row>
    <row r="13" spans="1:14" ht="15.75" thickBot="1" x14ac:dyDescent="0.3">
      <c r="A13" s="1012"/>
      <c r="B13" s="1013" t="s">
        <v>272</v>
      </c>
      <c r="C13" s="1014"/>
      <c r="D13" s="1010">
        <f>D6-D12</f>
        <v>-8.4149999999999991</v>
      </c>
      <c r="E13" s="1010">
        <f t="shared" ref="E13:H13" si="5">E6-E12</f>
        <v>-16.145250000000001</v>
      </c>
      <c r="F13" s="1010">
        <f t="shared" si="5"/>
        <v>-33.762249999999995</v>
      </c>
      <c r="G13" s="1010">
        <f t="shared" si="5"/>
        <v>148.2405</v>
      </c>
      <c r="H13" s="1010">
        <f t="shared" si="5"/>
        <v>57.849999999999994</v>
      </c>
      <c r="I13" s="1010">
        <f t="shared" ref="I13" si="6">I6-I12</f>
        <v>-39.47399999999999</v>
      </c>
      <c r="J13" s="1010">
        <f t="shared" ref="J13" si="7">J6-J12</f>
        <v>-47.44700000000001</v>
      </c>
      <c r="K13" s="1010">
        <f t="shared" ref="K13" si="8">K6-K12</f>
        <v>18.542943477223204</v>
      </c>
      <c r="L13" s="1010">
        <f t="shared" ref="L13" si="9">L6-L12</f>
        <v>19.545071479737999</v>
      </c>
      <c r="M13" s="1010">
        <f t="shared" ref="M13" si="10">M6-M12</f>
        <v>327.96353456030124</v>
      </c>
      <c r="N13" s="1011">
        <f t="shared" ref="N13" si="11">N6-N12</f>
        <v>237.65682272079647</v>
      </c>
    </row>
    <row r="14" spans="1:14" ht="15.75" thickTop="1" x14ac:dyDescent="0.25">
      <c r="A14" s="1012"/>
      <c r="B14" s="1022"/>
      <c r="C14" s="1017" t="s">
        <v>183</v>
      </c>
      <c r="D14" s="1023">
        <v>1.401</v>
      </c>
      <c r="E14" s="1023">
        <v>-0.78500000000000003</v>
      </c>
      <c r="F14" s="1023">
        <v>-2.0219999999999998</v>
      </c>
      <c r="G14" s="1023">
        <v>-1.712</v>
      </c>
      <c r="H14" s="1023">
        <v>-1</v>
      </c>
      <c r="I14" s="1023"/>
      <c r="J14" s="1023"/>
      <c r="K14" s="1023"/>
      <c r="L14" s="1023"/>
      <c r="M14" s="1023"/>
      <c r="N14" s="1024"/>
    </row>
    <row r="15" spans="1:14" ht="15" x14ac:dyDescent="0.25">
      <c r="A15" s="1012"/>
      <c r="B15" s="1013" t="s">
        <v>526</v>
      </c>
      <c r="C15" s="1014"/>
      <c r="D15" s="1004">
        <f>D13-D14</f>
        <v>-9.8159999999999989</v>
      </c>
      <c r="E15" s="1004">
        <f t="shared" ref="E15:H15" si="12">E13-E14</f>
        <v>-15.360250000000001</v>
      </c>
      <c r="F15" s="1004">
        <f t="shared" si="12"/>
        <v>-31.740249999999996</v>
      </c>
      <c r="G15" s="1004">
        <f t="shared" si="12"/>
        <v>149.95249999999999</v>
      </c>
      <c r="H15" s="1004">
        <f t="shared" si="12"/>
        <v>58.849999999999994</v>
      </c>
      <c r="I15" s="1004">
        <f t="shared" ref="I15" si="13">I13-I14</f>
        <v>-39.47399999999999</v>
      </c>
      <c r="J15" s="1004">
        <f t="shared" ref="J15" si="14">J13-J14</f>
        <v>-47.44700000000001</v>
      </c>
      <c r="K15" s="1004">
        <f t="shared" ref="K15" si="15">K13-K14</f>
        <v>18.542943477223204</v>
      </c>
      <c r="L15" s="1004">
        <f t="shared" ref="L15" si="16">L13-L14</f>
        <v>19.545071479737999</v>
      </c>
      <c r="M15" s="1004">
        <f t="shared" ref="M15" si="17">M13-M14</f>
        <v>327.96353456030124</v>
      </c>
      <c r="N15" s="1009">
        <f t="shared" ref="N15" si="18">N13-N14</f>
        <v>237.65682272079647</v>
      </c>
    </row>
    <row r="16" spans="1:14" ht="15" x14ac:dyDescent="0.25">
      <c r="A16" s="1012"/>
      <c r="B16" s="1022"/>
      <c r="C16" s="1017" t="s">
        <v>184</v>
      </c>
      <c r="D16" s="1004">
        <v>0</v>
      </c>
      <c r="E16" s="1004">
        <v>0</v>
      </c>
      <c r="F16" s="1004">
        <v>0</v>
      </c>
      <c r="G16" s="1004">
        <v>0</v>
      </c>
      <c r="H16" s="1004">
        <v>0</v>
      </c>
      <c r="I16" s="1004">
        <v>0</v>
      </c>
      <c r="J16" s="1004">
        <v>0</v>
      </c>
      <c r="K16" s="1004">
        <v>0</v>
      </c>
      <c r="L16" s="1015"/>
      <c r="M16" s="1015"/>
      <c r="N16" s="1016"/>
    </row>
    <row r="17" spans="1:15" ht="15.75" thickBot="1" x14ac:dyDescent="0.3">
      <c r="A17" s="1012"/>
      <c r="B17" s="1013" t="s">
        <v>185</v>
      </c>
      <c r="C17" s="1014"/>
      <c r="D17" s="1025">
        <f>D15-D16</f>
        <v>-9.8159999999999989</v>
      </c>
      <c r="E17" s="1025">
        <f t="shared" ref="E17:N17" si="19">E15-E16</f>
        <v>-15.360250000000001</v>
      </c>
      <c r="F17" s="1025">
        <f t="shared" si="19"/>
        <v>-31.740249999999996</v>
      </c>
      <c r="G17" s="1025">
        <f t="shared" si="19"/>
        <v>149.95249999999999</v>
      </c>
      <c r="H17" s="1025">
        <f t="shared" si="19"/>
        <v>58.849999999999994</v>
      </c>
      <c r="I17" s="1025">
        <f t="shared" si="19"/>
        <v>-39.47399999999999</v>
      </c>
      <c r="J17" s="1025">
        <f t="shared" si="19"/>
        <v>-47.44700000000001</v>
      </c>
      <c r="K17" s="1025">
        <f t="shared" si="19"/>
        <v>18.542943477223204</v>
      </c>
      <c r="L17" s="1025">
        <f t="shared" si="19"/>
        <v>19.545071479737999</v>
      </c>
      <c r="M17" s="1025">
        <f t="shared" si="19"/>
        <v>327.96353456030124</v>
      </c>
      <c r="N17" s="1026">
        <f t="shared" si="19"/>
        <v>237.65682272079647</v>
      </c>
    </row>
    <row r="18" spans="1:15" ht="15.75" thickTop="1" x14ac:dyDescent="0.25">
      <c r="A18" s="1027"/>
      <c r="B18" s="1028"/>
      <c r="C18" s="1029" t="s">
        <v>43</v>
      </c>
      <c r="D18" s="1004">
        <f>D17</f>
        <v>-9.8159999999999989</v>
      </c>
      <c r="E18" s="1004">
        <f>E17+D18</f>
        <v>-25.17625</v>
      </c>
      <c r="F18" s="1004">
        <f t="shared" ref="F18:H18" si="20">F17+E18</f>
        <v>-56.916499999999999</v>
      </c>
      <c r="G18" s="1004">
        <f t="shared" si="20"/>
        <v>93.035999999999987</v>
      </c>
      <c r="H18" s="1004">
        <f t="shared" si="20"/>
        <v>151.88599999999997</v>
      </c>
      <c r="I18" s="1004">
        <f t="shared" ref="I18" si="21">I17+H18</f>
        <v>112.41199999999998</v>
      </c>
      <c r="J18" s="1004">
        <f t="shared" ref="J18" si="22">J17+I18</f>
        <v>64.964999999999975</v>
      </c>
      <c r="K18" s="1004">
        <f t="shared" ref="K18" si="23">K17+J18</f>
        <v>83.507943477223179</v>
      </c>
      <c r="L18" s="1004">
        <f t="shared" ref="L18" si="24">L17+K18</f>
        <v>103.05301495696118</v>
      </c>
      <c r="M18" s="1004">
        <f t="shared" ref="M18" si="25">M17+L18</f>
        <v>431.01654951726243</v>
      </c>
      <c r="N18" s="1009">
        <f t="shared" ref="N18" si="26">N17+M18</f>
        <v>668.67337223805885</v>
      </c>
    </row>
    <row r="19" spans="1:15" ht="15" x14ac:dyDescent="0.25">
      <c r="A19" s="1012"/>
      <c r="B19" s="1013"/>
      <c r="C19" s="1022"/>
      <c r="D19" s="1030"/>
      <c r="E19" s="1030"/>
      <c r="F19" s="1030"/>
      <c r="G19" s="1030"/>
      <c r="H19" s="1030"/>
      <c r="I19" s="1030"/>
      <c r="J19" s="1030"/>
      <c r="K19" s="1030"/>
      <c r="L19" s="1030"/>
      <c r="M19" s="1030"/>
      <c r="N19" s="1030"/>
      <c r="O19" s="674"/>
    </row>
    <row r="20" spans="1:15" ht="15" x14ac:dyDescent="0.25">
      <c r="A20" s="989" t="s">
        <v>188</v>
      </c>
      <c r="B20" s="1031"/>
      <c r="C20" s="1032"/>
      <c r="D20" s="1033">
        <f>D2</f>
        <v>2005</v>
      </c>
      <c r="E20" s="999">
        <f>E2</f>
        <v>2006</v>
      </c>
      <c r="F20" s="999">
        <f t="shared" ref="F20:N20" si="27">F2</f>
        <v>2007</v>
      </c>
      <c r="G20" s="999">
        <f t="shared" si="27"/>
        <v>2008</v>
      </c>
      <c r="H20" s="999">
        <f t="shared" si="27"/>
        <v>2009</v>
      </c>
      <c r="I20" s="999">
        <f t="shared" si="27"/>
        <v>2010</v>
      </c>
      <c r="J20" s="999">
        <f t="shared" si="27"/>
        <v>2011</v>
      </c>
      <c r="K20" s="999">
        <f t="shared" si="27"/>
        <v>2012</v>
      </c>
      <c r="L20" s="999">
        <f t="shared" si="27"/>
        <v>2013</v>
      </c>
      <c r="M20" s="999">
        <f t="shared" si="27"/>
        <v>2014</v>
      </c>
      <c r="N20" s="1000">
        <f t="shared" si="27"/>
        <v>2015</v>
      </c>
    </row>
    <row r="21" spans="1:15" ht="15" x14ac:dyDescent="0.25">
      <c r="A21" s="1012"/>
      <c r="B21" s="1013" t="s">
        <v>526</v>
      </c>
      <c r="C21" s="1008"/>
      <c r="D21" s="1034">
        <f>D17</f>
        <v>-9.8159999999999989</v>
      </c>
      <c r="E21" s="1004">
        <f t="shared" ref="E21:H21" si="28">E17</f>
        <v>-15.360250000000001</v>
      </c>
      <c r="F21" s="1004">
        <f t="shared" si="28"/>
        <v>-31.740249999999996</v>
      </c>
      <c r="G21" s="1004">
        <f t="shared" si="28"/>
        <v>149.95249999999999</v>
      </c>
      <c r="H21" s="1004">
        <f t="shared" si="28"/>
        <v>58.849999999999994</v>
      </c>
      <c r="I21" s="1004">
        <f t="shared" ref="I21:N21" si="29">I17</f>
        <v>-39.47399999999999</v>
      </c>
      <c r="J21" s="1004">
        <f t="shared" si="29"/>
        <v>-47.44700000000001</v>
      </c>
      <c r="K21" s="1004">
        <f t="shared" si="29"/>
        <v>18.542943477223204</v>
      </c>
      <c r="L21" s="1004">
        <f t="shared" si="29"/>
        <v>19.545071479737999</v>
      </c>
      <c r="M21" s="1004">
        <f t="shared" si="29"/>
        <v>327.96353456030124</v>
      </c>
      <c r="N21" s="1009">
        <f t="shared" si="29"/>
        <v>237.65682272079647</v>
      </c>
    </row>
    <row r="22" spans="1:15" ht="15" x14ac:dyDescent="0.25">
      <c r="A22" s="1012"/>
      <c r="B22" s="1035"/>
      <c r="C22" s="1017" t="s">
        <v>523</v>
      </c>
      <c r="D22" s="1034">
        <v>1.1294999999999999</v>
      </c>
      <c r="E22" s="1004">
        <v>2.52393</v>
      </c>
      <c r="F22" s="1004">
        <v>5.9029999999999996</v>
      </c>
      <c r="G22" s="1004">
        <v>8.4</v>
      </c>
      <c r="H22" s="1004">
        <f>-59.298+69.25</f>
        <v>9.9519999999999982</v>
      </c>
      <c r="I22" s="1004">
        <v>13</v>
      </c>
      <c r="J22" s="1004">
        <v>14</v>
      </c>
      <c r="K22" s="1004">
        <v>35</v>
      </c>
      <c r="L22" s="1004">
        <v>54</v>
      </c>
      <c r="M22" s="1004">
        <v>12</v>
      </c>
      <c r="N22" s="1009">
        <v>2</v>
      </c>
    </row>
    <row r="23" spans="1:15" ht="15" x14ac:dyDescent="0.25">
      <c r="A23" s="1012"/>
      <c r="B23" s="1035"/>
      <c r="C23" s="1008" t="s">
        <v>12</v>
      </c>
      <c r="D23" s="1036">
        <v>1.0859999999999999</v>
      </c>
      <c r="E23" s="1037">
        <v>0.20500000000000002</v>
      </c>
      <c r="F23" s="1037">
        <v>2.4820000000000002</v>
      </c>
      <c r="G23" s="1037">
        <f>216.234-212.42</f>
        <v>3.8140000000000214</v>
      </c>
      <c r="H23" s="1037">
        <f>106.466-110</f>
        <v>-3.534000000000006</v>
      </c>
      <c r="I23" s="1037">
        <v>-2</v>
      </c>
      <c r="J23" s="1037">
        <v>5</v>
      </c>
      <c r="K23" s="1037">
        <v>5</v>
      </c>
      <c r="L23" s="1037">
        <v>-54</v>
      </c>
      <c r="M23" s="1037">
        <v>-34</v>
      </c>
      <c r="N23" s="1038">
        <v>-24</v>
      </c>
    </row>
    <row r="24" spans="1:15" ht="15" x14ac:dyDescent="0.25">
      <c r="A24" s="1012"/>
      <c r="B24" s="1013"/>
      <c r="C24" s="1017" t="s">
        <v>524</v>
      </c>
      <c r="D24" s="1034">
        <f>D21+D22+D23</f>
        <v>-7.6004999999999985</v>
      </c>
      <c r="E24" s="1004">
        <f t="shared" ref="E24:H24" si="30">E21+E22+E23</f>
        <v>-12.631320000000001</v>
      </c>
      <c r="F24" s="1004">
        <f t="shared" si="30"/>
        <v>-23.355249999999998</v>
      </c>
      <c r="G24" s="1004">
        <f t="shared" si="30"/>
        <v>162.16650000000001</v>
      </c>
      <c r="H24" s="1004">
        <f t="shared" si="30"/>
        <v>65.267999999999986</v>
      </c>
      <c r="I24" s="1004">
        <f t="shared" ref="I24:N24" si="31">I21+I22+I23</f>
        <v>-28.47399999999999</v>
      </c>
      <c r="J24" s="1004">
        <f t="shared" si="31"/>
        <v>-28.44700000000001</v>
      </c>
      <c r="K24" s="1004">
        <f t="shared" si="31"/>
        <v>58.542943477223204</v>
      </c>
      <c r="L24" s="1004">
        <f t="shared" si="31"/>
        <v>19.545071479737999</v>
      </c>
      <c r="M24" s="1004">
        <f t="shared" si="31"/>
        <v>305.96353456030124</v>
      </c>
      <c r="N24" s="1009">
        <f t="shared" si="31"/>
        <v>215.65682272079647</v>
      </c>
    </row>
    <row r="25" spans="1:15" ht="15" x14ac:dyDescent="0.25">
      <c r="A25" s="1012"/>
      <c r="B25" s="674"/>
      <c r="C25" s="1017" t="s">
        <v>11</v>
      </c>
      <c r="D25" s="1034">
        <v>-8.2680000000000007</v>
      </c>
      <c r="E25" s="1004">
        <v>-34.276000000000003</v>
      </c>
      <c r="F25" s="1004">
        <v>40.930999999999997</v>
      </c>
      <c r="G25" s="1004">
        <v>-149.54599999999999</v>
      </c>
      <c r="H25" s="1004">
        <v>-72.568000000000012</v>
      </c>
      <c r="I25" s="1004"/>
      <c r="J25" s="1004"/>
      <c r="K25" s="1004"/>
      <c r="L25" s="1004"/>
      <c r="M25" s="1004"/>
      <c r="N25" s="1009"/>
    </row>
    <row r="26" spans="1:15" ht="15" x14ac:dyDescent="0.25">
      <c r="A26" s="1012"/>
      <c r="B26" s="1013" t="s">
        <v>191</v>
      </c>
      <c r="C26" s="1008"/>
      <c r="D26" s="1039">
        <f>D24+D25</f>
        <v>-15.868499999999999</v>
      </c>
      <c r="E26" s="1020">
        <f t="shared" ref="E26:H26" si="32">E24+E25</f>
        <v>-46.907320000000006</v>
      </c>
      <c r="F26" s="1020">
        <f t="shared" si="32"/>
        <v>17.575749999999999</v>
      </c>
      <c r="G26" s="1020">
        <f t="shared" si="32"/>
        <v>12.620500000000021</v>
      </c>
      <c r="H26" s="1020">
        <f t="shared" si="32"/>
        <v>-7.3000000000000256</v>
      </c>
      <c r="I26" s="1020">
        <f t="shared" ref="I26:N26" si="33">I24+I25</f>
        <v>-28.47399999999999</v>
      </c>
      <c r="J26" s="1020">
        <f t="shared" si="33"/>
        <v>-28.44700000000001</v>
      </c>
      <c r="K26" s="1020">
        <f t="shared" si="33"/>
        <v>58.542943477223204</v>
      </c>
      <c r="L26" s="1020">
        <f t="shared" si="33"/>
        <v>19.545071479737999</v>
      </c>
      <c r="M26" s="1020">
        <f t="shared" si="33"/>
        <v>305.96353456030124</v>
      </c>
      <c r="N26" s="1021">
        <f t="shared" si="33"/>
        <v>215.65682272079647</v>
      </c>
    </row>
    <row r="27" spans="1:15" ht="15" x14ac:dyDescent="0.25">
      <c r="A27" s="1012"/>
      <c r="B27" s="1013"/>
      <c r="C27" s="1017" t="s">
        <v>189</v>
      </c>
      <c r="D27" s="1034">
        <v>9.7850000000000001</v>
      </c>
      <c r="E27" s="1004">
        <v>46.971999999999994</v>
      </c>
      <c r="F27" s="1004">
        <v>21.035999999999998</v>
      </c>
      <c r="G27" s="1004">
        <v>15.57</v>
      </c>
      <c r="H27" s="1004">
        <v>66.161999999999992</v>
      </c>
      <c r="I27" s="1004"/>
      <c r="J27" s="1004"/>
      <c r="K27" s="1004"/>
      <c r="L27" s="1004"/>
      <c r="M27" s="1004"/>
      <c r="N27" s="1009"/>
    </row>
    <row r="28" spans="1:15" ht="15" x14ac:dyDescent="0.25">
      <c r="A28" s="1012"/>
      <c r="B28" s="1013" t="s">
        <v>525</v>
      </c>
      <c r="C28" s="1017"/>
      <c r="D28" s="1039">
        <f>D26+D27</f>
        <v>-6.083499999999999</v>
      </c>
      <c r="E28" s="1020">
        <f t="shared" ref="E28:H28" si="34">E26+E27</f>
        <v>6.4679999999988524E-2</v>
      </c>
      <c r="F28" s="1020">
        <f t="shared" si="34"/>
        <v>38.611750000000001</v>
      </c>
      <c r="G28" s="1020">
        <f t="shared" si="34"/>
        <v>28.190500000000021</v>
      </c>
      <c r="H28" s="1020">
        <f t="shared" si="34"/>
        <v>58.861999999999966</v>
      </c>
      <c r="I28" s="1020">
        <f t="shared" ref="I28:N28" si="35">I26+I27</f>
        <v>-28.47399999999999</v>
      </c>
      <c r="J28" s="1020">
        <f t="shared" si="35"/>
        <v>-28.44700000000001</v>
      </c>
      <c r="K28" s="1020">
        <f t="shared" si="35"/>
        <v>58.542943477223204</v>
      </c>
      <c r="L28" s="1020">
        <f t="shared" si="35"/>
        <v>19.545071479737999</v>
      </c>
      <c r="M28" s="1020">
        <f t="shared" si="35"/>
        <v>305.96353456030124</v>
      </c>
      <c r="N28" s="1021">
        <f t="shared" si="35"/>
        <v>215.65682272079647</v>
      </c>
    </row>
    <row r="29" spans="1:15" ht="15" x14ac:dyDescent="0.25">
      <c r="A29" s="1012"/>
      <c r="B29" s="1035" t="s">
        <v>46</v>
      </c>
      <c r="C29" s="1014"/>
      <c r="D29" s="1036">
        <v>10.670999999999999</v>
      </c>
      <c r="E29" s="1037">
        <f>D30</f>
        <v>4.5875000000000004</v>
      </c>
      <c r="F29" s="1037">
        <f t="shared" ref="F29:H29" si="36">E30</f>
        <v>4.6521799999999889</v>
      </c>
      <c r="G29" s="1037">
        <f t="shared" si="36"/>
        <v>43.263929999999988</v>
      </c>
      <c r="H29" s="1037">
        <f t="shared" si="36"/>
        <v>71.454430000000002</v>
      </c>
      <c r="I29" s="1037">
        <f t="shared" ref="I29" si="37">H30</f>
        <v>130.31642999999997</v>
      </c>
      <c r="J29" s="1037">
        <f t="shared" ref="J29" si="38">I30</f>
        <v>101.84242999999998</v>
      </c>
      <c r="K29" s="1037">
        <f t="shared" ref="K29" si="39">J30</f>
        <v>73.395429999999976</v>
      </c>
      <c r="L29" s="1037">
        <f t="shared" ref="L29" si="40">K30</f>
        <v>131.93837347722319</v>
      </c>
      <c r="M29" s="1037">
        <f t="shared" ref="M29" si="41">L30</f>
        <v>151.48344495696119</v>
      </c>
      <c r="N29" s="1038">
        <f t="shared" ref="N29" si="42">M30</f>
        <v>457.44697951726243</v>
      </c>
    </row>
    <row r="30" spans="1:15" ht="15" x14ac:dyDescent="0.25">
      <c r="A30" s="1027"/>
      <c r="B30" s="1028" t="s">
        <v>190</v>
      </c>
      <c r="C30" s="1002"/>
      <c r="D30" s="1039">
        <f>D28+D29</f>
        <v>4.5875000000000004</v>
      </c>
      <c r="E30" s="1020">
        <f t="shared" ref="E30:H30" si="43">E28+E29</f>
        <v>4.6521799999999889</v>
      </c>
      <c r="F30" s="1020">
        <f t="shared" si="43"/>
        <v>43.263929999999988</v>
      </c>
      <c r="G30" s="1020">
        <f t="shared" si="43"/>
        <v>71.454430000000002</v>
      </c>
      <c r="H30" s="1020">
        <f t="shared" si="43"/>
        <v>130.31642999999997</v>
      </c>
      <c r="I30" s="1020">
        <f t="shared" ref="I30:N30" si="44">I28+I29</f>
        <v>101.84242999999998</v>
      </c>
      <c r="J30" s="1020">
        <f t="shared" si="44"/>
        <v>73.395429999999976</v>
      </c>
      <c r="K30" s="1020">
        <f t="shared" si="44"/>
        <v>131.93837347722319</v>
      </c>
      <c r="L30" s="1020">
        <f t="shared" si="44"/>
        <v>151.48344495696119</v>
      </c>
      <c r="M30" s="1020">
        <f t="shared" si="44"/>
        <v>457.44697951726243</v>
      </c>
      <c r="N30" s="1021">
        <f t="shared" si="44"/>
        <v>673.10380223805896</v>
      </c>
    </row>
    <row r="31" spans="1:15" ht="15" x14ac:dyDescent="0.25">
      <c r="A31" s="1027"/>
      <c r="B31" s="1028"/>
      <c r="C31" s="1003"/>
      <c r="D31" s="1040"/>
      <c r="E31" s="1040"/>
      <c r="F31" s="1040"/>
      <c r="G31" s="1040"/>
      <c r="H31" s="1040"/>
      <c r="I31" s="1040"/>
      <c r="J31" s="1040"/>
      <c r="K31" s="1040"/>
      <c r="L31" s="1040"/>
      <c r="M31" s="1040"/>
      <c r="N31" s="1040"/>
      <c r="O31" s="674"/>
    </row>
    <row r="32" spans="1:15" ht="15" x14ac:dyDescent="0.25">
      <c r="A32" s="989" t="s">
        <v>192</v>
      </c>
      <c r="B32" s="905"/>
      <c r="C32" s="998"/>
      <c r="D32" s="1033">
        <f>D20</f>
        <v>2005</v>
      </c>
      <c r="E32" s="999">
        <f t="shared" ref="E32:N32" si="45">E20</f>
        <v>2006</v>
      </c>
      <c r="F32" s="999">
        <f t="shared" si="45"/>
        <v>2007</v>
      </c>
      <c r="G32" s="999">
        <f t="shared" si="45"/>
        <v>2008</v>
      </c>
      <c r="H32" s="999">
        <f t="shared" si="45"/>
        <v>2009</v>
      </c>
      <c r="I32" s="999">
        <f t="shared" si="45"/>
        <v>2010</v>
      </c>
      <c r="J32" s="999">
        <f t="shared" si="45"/>
        <v>2011</v>
      </c>
      <c r="K32" s="999">
        <f t="shared" si="45"/>
        <v>2012</v>
      </c>
      <c r="L32" s="999">
        <f t="shared" si="45"/>
        <v>2013</v>
      </c>
      <c r="M32" s="999">
        <f t="shared" si="45"/>
        <v>2014</v>
      </c>
      <c r="N32" s="1000">
        <f t="shared" si="45"/>
        <v>2015</v>
      </c>
    </row>
    <row r="33" spans="1:19" ht="15" x14ac:dyDescent="0.25">
      <c r="A33" s="990"/>
      <c r="B33" s="803" t="s">
        <v>665</v>
      </c>
      <c r="C33" s="1008"/>
      <c r="D33" s="1041">
        <v>13.936999999999999</v>
      </c>
      <c r="E33" s="1005">
        <v>24.248000000000001</v>
      </c>
      <c r="F33" s="1005">
        <v>27.931999999999999</v>
      </c>
      <c r="G33" s="1005">
        <v>29.478000000000002</v>
      </c>
      <c r="H33" s="1005">
        <v>32.094000000000001</v>
      </c>
      <c r="I33" s="1004">
        <v>69.147999999999996</v>
      </c>
      <c r="J33" s="1004">
        <v>71.463999999999999</v>
      </c>
      <c r="K33" s="1004">
        <v>146.94999999999999</v>
      </c>
      <c r="L33" s="1004">
        <v>150.33000000000001</v>
      </c>
      <c r="M33" s="1004">
        <v>153.86000000000001</v>
      </c>
      <c r="N33" s="1009">
        <v>160.35</v>
      </c>
    </row>
    <row r="34" spans="1:19" ht="15" x14ac:dyDescent="0.25">
      <c r="A34" s="990"/>
      <c r="B34" s="803"/>
      <c r="C34" s="1008" t="s">
        <v>666</v>
      </c>
      <c r="D34" s="1042">
        <v>0.61</v>
      </c>
      <c r="E34" s="1043">
        <v>3.9</v>
      </c>
      <c r="F34" s="1043">
        <v>3.6</v>
      </c>
      <c r="G34" s="1043">
        <v>3.72</v>
      </c>
      <c r="H34" s="1043">
        <v>9.41</v>
      </c>
      <c r="I34" s="1043">
        <v>3.79</v>
      </c>
      <c r="J34" s="1044">
        <v>11.6</v>
      </c>
      <c r="K34" s="1044">
        <v>25.58</v>
      </c>
      <c r="L34" s="1044">
        <v>31.91</v>
      </c>
      <c r="M34" s="1043">
        <v>49.81</v>
      </c>
      <c r="N34" s="1045">
        <v>48.34</v>
      </c>
    </row>
    <row r="35" spans="1:19" ht="15" x14ac:dyDescent="0.25">
      <c r="A35" s="991"/>
      <c r="B35" s="1001"/>
      <c r="C35" s="1046" t="s">
        <v>265</v>
      </c>
      <c r="D35" s="1047">
        <f t="shared" ref="D35:J35" si="46">D33*D34</f>
        <v>8.5015699999999992</v>
      </c>
      <c r="E35" s="1048">
        <f t="shared" si="46"/>
        <v>94.5672</v>
      </c>
      <c r="F35" s="1048">
        <f t="shared" si="46"/>
        <v>100.5552</v>
      </c>
      <c r="G35" s="1048">
        <f t="shared" si="46"/>
        <v>109.65816000000001</v>
      </c>
      <c r="H35" s="1048">
        <f t="shared" si="46"/>
        <v>302.00454000000002</v>
      </c>
      <c r="I35" s="1048">
        <f t="shared" si="46"/>
        <v>262.07092</v>
      </c>
      <c r="J35" s="1048">
        <f t="shared" si="46"/>
        <v>828.98239999999998</v>
      </c>
      <c r="K35" s="1048">
        <f>K33*K34</f>
        <v>3758.9809999999993</v>
      </c>
      <c r="L35" s="1048">
        <f t="shared" ref="L35:N35" si="47">L33*L34</f>
        <v>4797.0303000000004</v>
      </c>
      <c r="M35" s="1048">
        <f t="shared" si="47"/>
        <v>7663.7666000000008</v>
      </c>
      <c r="N35" s="1049">
        <f t="shared" si="47"/>
        <v>7751.3190000000004</v>
      </c>
    </row>
    <row r="36" spans="1:19" ht="15" x14ac:dyDescent="0.25">
      <c r="A36" s="991"/>
      <c r="B36" s="1001"/>
      <c r="C36" s="1003"/>
      <c r="D36" s="1050"/>
      <c r="E36" s="1050"/>
      <c r="F36" s="1050"/>
      <c r="G36" s="1050"/>
      <c r="H36" s="1050"/>
      <c r="I36" s="1050"/>
      <c r="J36" s="1050"/>
      <c r="K36" s="871"/>
      <c r="L36" s="871"/>
      <c r="M36" s="871"/>
      <c r="N36" s="871"/>
      <c r="O36" s="1051"/>
      <c r="S36" s="1052"/>
    </row>
    <row r="37" spans="1:19" ht="15" x14ac:dyDescent="0.25">
      <c r="A37" s="990"/>
      <c r="B37" s="803"/>
      <c r="E37" s="1053"/>
      <c r="F37" s="1053"/>
      <c r="G37" s="1053"/>
      <c r="H37" s="1053"/>
      <c r="I37" s="1053"/>
      <c r="J37" s="1053"/>
    </row>
    <row r="38" spans="1:19" ht="15" x14ac:dyDescent="0.25">
      <c r="A38" s="989" t="s">
        <v>671</v>
      </c>
      <c r="B38" s="905"/>
      <c r="C38" s="1058"/>
      <c r="D38" s="1059"/>
      <c r="E38" s="1059"/>
      <c r="F38" s="1059"/>
      <c r="G38" s="1059"/>
      <c r="H38" s="1059"/>
      <c r="I38" s="1059"/>
      <c r="J38" s="1059"/>
      <c r="K38" s="1059"/>
      <c r="L38" s="1059"/>
      <c r="M38" s="1059"/>
      <c r="N38" s="1060"/>
    </row>
    <row r="39" spans="1:19" ht="15" x14ac:dyDescent="0.25">
      <c r="A39" s="990"/>
      <c r="B39" s="674" t="s">
        <v>661</v>
      </c>
      <c r="C39" s="674"/>
      <c r="D39" s="1061">
        <v>5.6349999999999998</v>
      </c>
      <c r="E39" s="1061">
        <v>5.2149999999999999</v>
      </c>
      <c r="F39" s="1061">
        <f>(265.43+758.12)/1000</f>
        <v>1.02355</v>
      </c>
      <c r="G39" s="1061">
        <v>1.1294999999999999</v>
      </c>
      <c r="H39" s="1061">
        <v>3.1625000000000001</v>
      </c>
      <c r="I39" s="1055"/>
      <c r="J39" s="1055"/>
      <c r="K39" s="1056"/>
      <c r="L39" s="674"/>
      <c r="M39" s="674"/>
      <c r="N39" s="1008"/>
    </row>
    <row r="40" spans="1:19" ht="15" x14ac:dyDescent="0.25">
      <c r="A40" s="990"/>
      <c r="B40" s="674" t="s">
        <v>662</v>
      </c>
      <c r="C40" s="674"/>
      <c r="D40" s="1062">
        <v>2</v>
      </c>
      <c r="E40" s="1062">
        <f>E41/E39</f>
        <v>9.6356663470757429</v>
      </c>
      <c r="F40" s="1062">
        <f>F41/F39</f>
        <v>20.761076645010014</v>
      </c>
      <c r="G40" s="1063">
        <f>G41/G39</f>
        <v>13.811420982735724</v>
      </c>
      <c r="H40" s="1063">
        <f>H41/H39</f>
        <v>19.729960474308299</v>
      </c>
      <c r="I40" s="1055"/>
      <c r="J40" s="1055"/>
      <c r="K40" s="1053"/>
      <c r="L40" s="674"/>
      <c r="M40" s="674"/>
      <c r="N40" s="1008"/>
    </row>
    <row r="41" spans="1:19" ht="15" x14ac:dyDescent="0.25">
      <c r="A41" s="990"/>
      <c r="B41" s="674" t="s">
        <v>663</v>
      </c>
      <c r="C41" s="674"/>
      <c r="D41" s="988">
        <f>D39*D40</f>
        <v>11.27</v>
      </c>
      <c r="E41" s="988">
        <v>50.25</v>
      </c>
      <c r="F41" s="988">
        <v>21.25</v>
      </c>
      <c r="G41" s="988">
        <v>15.6</v>
      </c>
      <c r="H41" s="988">
        <v>62.396000000000001</v>
      </c>
      <c r="I41" s="1055"/>
      <c r="J41" s="1055"/>
      <c r="K41" s="1053"/>
      <c r="L41" s="674"/>
      <c r="M41" s="674"/>
      <c r="N41" s="1008"/>
    </row>
    <row r="42" spans="1:19" ht="15" x14ac:dyDescent="0.25">
      <c r="A42" s="991"/>
      <c r="B42" s="1003" t="s">
        <v>664</v>
      </c>
      <c r="C42" s="1003"/>
      <c r="D42" s="988">
        <v>9.7639999999999993</v>
      </c>
      <c r="E42" s="988">
        <f>E41-3.499</f>
        <v>46.750999999999998</v>
      </c>
      <c r="F42" s="988">
        <v>20.798999999999999</v>
      </c>
      <c r="G42" s="988">
        <v>14.911</v>
      </c>
      <c r="H42" s="988">
        <v>62.058999999999997</v>
      </c>
      <c r="I42" s="1064"/>
      <c r="J42" s="1064"/>
      <c r="K42" s="1064"/>
      <c r="L42" s="1003"/>
      <c r="M42" s="1003"/>
      <c r="N42" s="1002"/>
    </row>
    <row r="43" spans="1:19" ht="15" x14ac:dyDescent="0.25">
      <c r="A43" s="803"/>
      <c r="B43" s="674"/>
      <c r="C43" s="674"/>
      <c r="D43" s="1053"/>
      <c r="E43" s="1053"/>
      <c r="F43" s="1053"/>
      <c r="G43" s="1057"/>
      <c r="H43" s="1053"/>
      <c r="I43" s="1055"/>
      <c r="J43" s="1055"/>
      <c r="K43" s="1055"/>
    </row>
    <row r="44" spans="1:19" ht="15" x14ac:dyDescent="0.25">
      <c r="A44" s="803"/>
      <c r="C44" s="674" t="s">
        <v>654</v>
      </c>
      <c r="D44" s="1054">
        <f>SUM(D9:H9)</f>
        <v>17.193999999999999</v>
      </c>
      <c r="E44" s="1053"/>
      <c r="F44" s="1053"/>
      <c r="G44" s="1055"/>
      <c r="H44" s="1053"/>
      <c r="I44" s="1055"/>
      <c r="J44" s="1055"/>
      <c r="K44" s="1055"/>
    </row>
    <row r="45" spans="1:19" ht="12.75" customHeight="1" x14ac:dyDescent="0.25">
      <c r="C45" s="674"/>
      <c r="G45" s="674"/>
      <c r="H45" s="674"/>
    </row>
    <row r="46" spans="1:19" ht="12.75" customHeight="1" x14ac:dyDescent="0.25">
      <c r="G46" s="674"/>
      <c r="H46" s="674"/>
    </row>
    <row r="47" spans="1:19" ht="12.75" customHeight="1" x14ac:dyDescent="0.25">
      <c r="G47" s="674"/>
      <c r="H47" s="674"/>
    </row>
    <row r="48" spans="1:19" ht="12.75" customHeight="1" x14ac:dyDescent="0.25">
      <c r="G48" s="674"/>
      <c r="H48" s="674"/>
    </row>
    <row r="49" spans="7:8" ht="12.75" customHeight="1" x14ac:dyDescent="0.25">
      <c r="G49" s="674"/>
      <c r="H49" s="674"/>
    </row>
    <row r="50" spans="7:8" ht="12.75" customHeight="1" x14ac:dyDescent="0.25">
      <c r="G50" s="674"/>
      <c r="H50" s="674"/>
    </row>
    <row r="51" spans="7:8" ht="12.75" customHeight="1" x14ac:dyDescent="0.25">
      <c r="G51" s="674"/>
      <c r="H51" s="674"/>
    </row>
  </sheetData>
  <mergeCells count="3">
    <mergeCell ref="I1:K1"/>
    <mergeCell ref="H3:N3"/>
    <mergeCell ref="D3:G3"/>
  </mergeCells>
  <phoneticPr fontId="0" type="noConversion"/>
  <printOptions gridLines="1"/>
  <pageMargins left="0.75" right="0.75" top="1" bottom="1" header="0.5" footer="0.5"/>
  <pageSetup scale="78" orientation="landscape" horizontalDpi="300" verticalDpi="300" r:id="rId1"/>
  <headerFooter alignWithMargins="0">
    <oddFooter>&amp;L&amp;F&amp;A&amp;CPLG Copyright&amp;R&amp;D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1"/>
  <sheetViews>
    <sheetView workbookViewId="0">
      <selection activeCell="H15" sqref="H15:I15"/>
    </sheetView>
  </sheetViews>
  <sheetFormatPr defaultRowHeight="20.100000000000001" customHeight="1" x14ac:dyDescent="0.2"/>
  <cols>
    <col min="1" max="1" width="10.42578125" style="4" bestFit="1" customWidth="1"/>
    <col min="2" max="2" width="10.85546875" style="4" customWidth="1"/>
    <col min="3" max="3" width="9.140625" style="4" customWidth="1"/>
    <col min="4" max="4" width="14.7109375" style="4" customWidth="1"/>
    <col min="5" max="5" width="15.7109375" style="4" customWidth="1"/>
    <col min="6" max="6" width="13.42578125" style="4" customWidth="1"/>
    <col min="7" max="7" width="17.5703125" style="4" customWidth="1"/>
    <col min="8" max="8" width="9" style="4" customWidth="1"/>
    <col min="9" max="9" width="8.42578125" style="4" customWidth="1"/>
    <col min="10" max="11" width="15" style="4" customWidth="1"/>
    <col min="12" max="12" width="10.85546875" style="4" customWidth="1"/>
    <col min="13" max="13" width="26" style="4" customWidth="1"/>
    <col min="14" max="14" width="23.7109375" style="4" customWidth="1"/>
    <col min="15" max="253" width="9.140625" style="4"/>
    <col min="254" max="254" width="13.7109375" style="4" customWidth="1"/>
    <col min="255" max="255" width="11.42578125" style="4" customWidth="1"/>
    <col min="256" max="256" width="8.7109375" style="4" customWidth="1"/>
    <col min="257" max="257" width="23.7109375" style="4" customWidth="1"/>
    <col min="258" max="258" width="22" style="4" customWidth="1"/>
    <col min="259" max="259" width="24.28515625" style="4" customWidth="1"/>
    <col min="260" max="260" width="50" style="4" customWidth="1"/>
    <col min="261" max="261" width="14.28515625" style="4" customWidth="1"/>
    <col min="262" max="262" width="12.42578125" style="4" customWidth="1"/>
    <col min="263" max="263" width="10.5703125" style="4" customWidth="1"/>
    <col min="264" max="264" width="59" style="4" customWidth="1"/>
    <col min="265" max="265" width="14.28515625" style="4" customWidth="1"/>
    <col min="266" max="509" width="9.140625" style="4"/>
    <col min="510" max="510" width="13.7109375" style="4" customWidth="1"/>
    <col min="511" max="511" width="11.42578125" style="4" customWidth="1"/>
    <col min="512" max="512" width="8.7109375" style="4" customWidth="1"/>
    <col min="513" max="513" width="23.7109375" style="4" customWidth="1"/>
    <col min="514" max="514" width="22" style="4" customWidth="1"/>
    <col min="515" max="515" width="24.28515625" style="4" customWidth="1"/>
    <col min="516" max="516" width="50" style="4" customWidth="1"/>
    <col min="517" max="517" width="14.28515625" style="4" customWidth="1"/>
    <col min="518" max="518" width="12.42578125" style="4" customWidth="1"/>
    <col min="519" max="519" width="10.5703125" style="4" customWidth="1"/>
    <col min="520" max="520" width="59" style="4" customWidth="1"/>
    <col min="521" max="521" width="14.28515625" style="4" customWidth="1"/>
    <col min="522" max="765" width="9.140625" style="4"/>
    <col min="766" max="766" width="13.7109375" style="4" customWidth="1"/>
    <col min="767" max="767" width="11.42578125" style="4" customWidth="1"/>
    <col min="768" max="768" width="8.7109375" style="4" customWidth="1"/>
    <col min="769" max="769" width="23.7109375" style="4" customWidth="1"/>
    <col min="770" max="770" width="22" style="4" customWidth="1"/>
    <col min="771" max="771" width="24.28515625" style="4" customWidth="1"/>
    <col min="772" max="772" width="50" style="4" customWidth="1"/>
    <col min="773" max="773" width="14.28515625" style="4" customWidth="1"/>
    <col min="774" max="774" width="12.42578125" style="4" customWidth="1"/>
    <col min="775" max="775" width="10.5703125" style="4" customWidth="1"/>
    <col min="776" max="776" width="59" style="4" customWidth="1"/>
    <col min="777" max="777" width="14.28515625" style="4" customWidth="1"/>
    <col min="778" max="1021" width="9.140625" style="4"/>
    <col min="1022" max="1022" width="13.7109375" style="4" customWidth="1"/>
    <col min="1023" max="1023" width="11.42578125" style="4" customWidth="1"/>
    <col min="1024" max="1024" width="8.7109375" style="4" customWidth="1"/>
    <col min="1025" max="1025" width="23.7109375" style="4" customWidth="1"/>
    <col min="1026" max="1026" width="22" style="4" customWidth="1"/>
    <col min="1027" max="1027" width="24.28515625" style="4" customWidth="1"/>
    <col min="1028" max="1028" width="50" style="4" customWidth="1"/>
    <col min="1029" max="1029" width="14.28515625" style="4" customWidth="1"/>
    <col min="1030" max="1030" width="12.42578125" style="4" customWidth="1"/>
    <col min="1031" max="1031" width="10.5703125" style="4" customWidth="1"/>
    <col min="1032" max="1032" width="59" style="4" customWidth="1"/>
    <col min="1033" max="1033" width="14.28515625" style="4" customWidth="1"/>
    <col min="1034" max="1277" width="9.140625" style="4"/>
    <col min="1278" max="1278" width="13.7109375" style="4" customWidth="1"/>
    <col min="1279" max="1279" width="11.42578125" style="4" customWidth="1"/>
    <col min="1280" max="1280" width="8.7109375" style="4" customWidth="1"/>
    <col min="1281" max="1281" width="23.7109375" style="4" customWidth="1"/>
    <col min="1282" max="1282" width="22" style="4" customWidth="1"/>
    <col min="1283" max="1283" width="24.28515625" style="4" customWidth="1"/>
    <col min="1284" max="1284" width="50" style="4" customWidth="1"/>
    <col min="1285" max="1285" width="14.28515625" style="4" customWidth="1"/>
    <col min="1286" max="1286" width="12.42578125" style="4" customWidth="1"/>
    <col min="1287" max="1287" width="10.5703125" style="4" customWidth="1"/>
    <col min="1288" max="1288" width="59" style="4" customWidth="1"/>
    <col min="1289" max="1289" width="14.28515625" style="4" customWidth="1"/>
    <col min="1290" max="1533" width="9.140625" style="4"/>
    <col min="1534" max="1534" width="13.7109375" style="4" customWidth="1"/>
    <col min="1535" max="1535" width="11.42578125" style="4" customWidth="1"/>
    <col min="1536" max="1536" width="8.7109375" style="4" customWidth="1"/>
    <col min="1537" max="1537" width="23.7109375" style="4" customWidth="1"/>
    <col min="1538" max="1538" width="22" style="4" customWidth="1"/>
    <col min="1539" max="1539" width="24.28515625" style="4" customWidth="1"/>
    <col min="1540" max="1540" width="50" style="4" customWidth="1"/>
    <col min="1541" max="1541" width="14.28515625" style="4" customWidth="1"/>
    <col min="1542" max="1542" width="12.42578125" style="4" customWidth="1"/>
    <col min="1543" max="1543" width="10.5703125" style="4" customWidth="1"/>
    <col min="1544" max="1544" width="59" style="4" customWidth="1"/>
    <col min="1545" max="1545" width="14.28515625" style="4" customWidth="1"/>
    <col min="1546" max="1789" width="9.140625" style="4"/>
    <col min="1790" max="1790" width="13.7109375" style="4" customWidth="1"/>
    <col min="1791" max="1791" width="11.42578125" style="4" customWidth="1"/>
    <col min="1792" max="1792" width="8.7109375" style="4" customWidth="1"/>
    <col min="1793" max="1793" width="23.7109375" style="4" customWidth="1"/>
    <col min="1794" max="1794" width="22" style="4" customWidth="1"/>
    <col min="1795" max="1795" width="24.28515625" style="4" customWidth="1"/>
    <col min="1796" max="1796" width="50" style="4" customWidth="1"/>
    <col min="1797" max="1797" width="14.28515625" style="4" customWidth="1"/>
    <col min="1798" max="1798" width="12.42578125" style="4" customWidth="1"/>
    <col min="1799" max="1799" width="10.5703125" style="4" customWidth="1"/>
    <col min="1800" max="1800" width="59" style="4" customWidth="1"/>
    <col min="1801" max="1801" width="14.28515625" style="4" customWidth="1"/>
    <col min="1802" max="2045" width="9.140625" style="4"/>
    <col min="2046" max="2046" width="13.7109375" style="4" customWidth="1"/>
    <col min="2047" max="2047" width="11.42578125" style="4" customWidth="1"/>
    <col min="2048" max="2048" width="8.7109375" style="4" customWidth="1"/>
    <col min="2049" max="2049" width="23.7109375" style="4" customWidth="1"/>
    <col min="2050" max="2050" width="22" style="4" customWidth="1"/>
    <col min="2051" max="2051" width="24.28515625" style="4" customWidth="1"/>
    <col min="2052" max="2052" width="50" style="4" customWidth="1"/>
    <col min="2053" max="2053" width="14.28515625" style="4" customWidth="1"/>
    <col min="2054" max="2054" width="12.42578125" style="4" customWidth="1"/>
    <col min="2055" max="2055" width="10.5703125" style="4" customWidth="1"/>
    <col min="2056" max="2056" width="59" style="4" customWidth="1"/>
    <col min="2057" max="2057" width="14.28515625" style="4" customWidth="1"/>
    <col min="2058" max="2301" width="9.140625" style="4"/>
    <col min="2302" max="2302" width="13.7109375" style="4" customWidth="1"/>
    <col min="2303" max="2303" width="11.42578125" style="4" customWidth="1"/>
    <col min="2304" max="2304" width="8.7109375" style="4" customWidth="1"/>
    <col min="2305" max="2305" width="23.7109375" style="4" customWidth="1"/>
    <col min="2306" max="2306" width="22" style="4" customWidth="1"/>
    <col min="2307" max="2307" width="24.28515625" style="4" customWidth="1"/>
    <col min="2308" max="2308" width="50" style="4" customWidth="1"/>
    <col min="2309" max="2309" width="14.28515625" style="4" customWidth="1"/>
    <col min="2310" max="2310" width="12.42578125" style="4" customWidth="1"/>
    <col min="2311" max="2311" width="10.5703125" style="4" customWidth="1"/>
    <col min="2312" max="2312" width="59" style="4" customWidth="1"/>
    <col min="2313" max="2313" width="14.28515625" style="4" customWidth="1"/>
    <col min="2314" max="2557" width="9.140625" style="4"/>
    <col min="2558" max="2558" width="13.7109375" style="4" customWidth="1"/>
    <col min="2559" max="2559" width="11.42578125" style="4" customWidth="1"/>
    <col min="2560" max="2560" width="8.7109375" style="4" customWidth="1"/>
    <col min="2561" max="2561" width="23.7109375" style="4" customWidth="1"/>
    <col min="2562" max="2562" width="22" style="4" customWidth="1"/>
    <col min="2563" max="2563" width="24.28515625" style="4" customWidth="1"/>
    <col min="2564" max="2564" width="50" style="4" customWidth="1"/>
    <col min="2565" max="2565" width="14.28515625" style="4" customWidth="1"/>
    <col min="2566" max="2566" width="12.42578125" style="4" customWidth="1"/>
    <col min="2567" max="2567" width="10.5703125" style="4" customWidth="1"/>
    <col min="2568" max="2568" width="59" style="4" customWidth="1"/>
    <col min="2569" max="2569" width="14.28515625" style="4" customWidth="1"/>
    <col min="2570" max="2813" width="9.140625" style="4"/>
    <col min="2814" max="2814" width="13.7109375" style="4" customWidth="1"/>
    <col min="2815" max="2815" width="11.42578125" style="4" customWidth="1"/>
    <col min="2816" max="2816" width="8.7109375" style="4" customWidth="1"/>
    <col min="2817" max="2817" width="23.7109375" style="4" customWidth="1"/>
    <col min="2818" max="2818" width="22" style="4" customWidth="1"/>
    <col min="2819" max="2819" width="24.28515625" style="4" customWidth="1"/>
    <col min="2820" max="2820" width="50" style="4" customWidth="1"/>
    <col min="2821" max="2821" width="14.28515625" style="4" customWidth="1"/>
    <col min="2822" max="2822" width="12.42578125" style="4" customWidth="1"/>
    <col min="2823" max="2823" width="10.5703125" style="4" customWidth="1"/>
    <col min="2824" max="2824" width="59" style="4" customWidth="1"/>
    <col min="2825" max="2825" width="14.28515625" style="4" customWidth="1"/>
    <col min="2826" max="3069" width="9.140625" style="4"/>
    <col min="3070" max="3070" width="13.7109375" style="4" customWidth="1"/>
    <col min="3071" max="3071" width="11.42578125" style="4" customWidth="1"/>
    <col min="3072" max="3072" width="8.7109375" style="4" customWidth="1"/>
    <col min="3073" max="3073" width="23.7109375" style="4" customWidth="1"/>
    <col min="3074" max="3074" width="22" style="4" customWidth="1"/>
    <col min="3075" max="3075" width="24.28515625" style="4" customWidth="1"/>
    <col min="3076" max="3076" width="50" style="4" customWidth="1"/>
    <col min="3077" max="3077" width="14.28515625" style="4" customWidth="1"/>
    <col min="3078" max="3078" width="12.42578125" style="4" customWidth="1"/>
    <col min="3079" max="3079" width="10.5703125" style="4" customWidth="1"/>
    <col min="3080" max="3080" width="59" style="4" customWidth="1"/>
    <col min="3081" max="3081" width="14.28515625" style="4" customWidth="1"/>
    <col min="3082" max="3325" width="9.140625" style="4"/>
    <col min="3326" max="3326" width="13.7109375" style="4" customWidth="1"/>
    <col min="3327" max="3327" width="11.42578125" style="4" customWidth="1"/>
    <col min="3328" max="3328" width="8.7109375" style="4" customWidth="1"/>
    <col min="3329" max="3329" width="23.7109375" style="4" customWidth="1"/>
    <col min="3330" max="3330" width="22" style="4" customWidth="1"/>
    <col min="3331" max="3331" width="24.28515625" style="4" customWidth="1"/>
    <col min="3332" max="3332" width="50" style="4" customWidth="1"/>
    <col min="3333" max="3333" width="14.28515625" style="4" customWidth="1"/>
    <col min="3334" max="3334" width="12.42578125" style="4" customWidth="1"/>
    <col min="3335" max="3335" width="10.5703125" style="4" customWidth="1"/>
    <col min="3336" max="3336" width="59" style="4" customWidth="1"/>
    <col min="3337" max="3337" width="14.28515625" style="4" customWidth="1"/>
    <col min="3338" max="3581" width="9.140625" style="4"/>
    <col min="3582" max="3582" width="13.7109375" style="4" customWidth="1"/>
    <col min="3583" max="3583" width="11.42578125" style="4" customWidth="1"/>
    <col min="3584" max="3584" width="8.7109375" style="4" customWidth="1"/>
    <col min="3585" max="3585" width="23.7109375" style="4" customWidth="1"/>
    <col min="3586" max="3586" width="22" style="4" customWidth="1"/>
    <col min="3587" max="3587" width="24.28515625" style="4" customWidth="1"/>
    <col min="3588" max="3588" width="50" style="4" customWidth="1"/>
    <col min="3589" max="3589" width="14.28515625" style="4" customWidth="1"/>
    <col min="3590" max="3590" width="12.42578125" style="4" customWidth="1"/>
    <col min="3591" max="3591" width="10.5703125" style="4" customWidth="1"/>
    <col min="3592" max="3592" width="59" style="4" customWidth="1"/>
    <col min="3593" max="3593" width="14.28515625" style="4" customWidth="1"/>
    <col min="3594" max="3837" width="9.140625" style="4"/>
    <col min="3838" max="3838" width="13.7109375" style="4" customWidth="1"/>
    <col min="3839" max="3839" width="11.42578125" style="4" customWidth="1"/>
    <col min="3840" max="3840" width="8.7109375" style="4" customWidth="1"/>
    <col min="3841" max="3841" width="23.7109375" style="4" customWidth="1"/>
    <col min="3842" max="3842" width="22" style="4" customWidth="1"/>
    <col min="3843" max="3843" width="24.28515625" style="4" customWidth="1"/>
    <col min="3844" max="3844" width="50" style="4" customWidth="1"/>
    <col min="3845" max="3845" width="14.28515625" style="4" customWidth="1"/>
    <col min="3846" max="3846" width="12.42578125" style="4" customWidth="1"/>
    <col min="3847" max="3847" width="10.5703125" style="4" customWidth="1"/>
    <col min="3848" max="3848" width="59" style="4" customWidth="1"/>
    <col min="3849" max="3849" width="14.28515625" style="4" customWidth="1"/>
    <col min="3850" max="4093" width="9.140625" style="4"/>
    <col min="4094" max="4094" width="13.7109375" style="4" customWidth="1"/>
    <col min="4095" max="4095" width="11.42578125" style="4" customWidth="1"/>
    <col min="4096" max="4096" width="8.7109375" style="4" customWidth="1"/>
    <col min="4097" max="4097" width="23.7109375" style="4" customWidth="1"/>
    <col min="4098" max="4098" width="22" style="4" customWidth="1"/>
    <col min="4099" max="4099" width="24.28515625" style="4" customWidth="1"/>
    <col min="4100" max="4100" width="50" style="4" customWidth="1"/>
    <col min="4101" max="4101" width="14.28515625" style="4" customWidth="1"/>
    <col min="4102" max="4102" width="12.42578125" style="4" customWidth="1"/>
    <col min="4103" max="4103" width="10.5703125" style="4" customWidth="1"/>
    <col min="4104" max="4104" width="59" style="4" customWidth="1"/>
    <col min="4105" max="4105" width="14.28515625" style="4" customWidth="1"/>
    <col min="4106" max="4349" width="9.140625" style="4"/>
    <col min="4350" max="4350" width="13.7109375" style="4" customWidth="1"/>
    <col min="4351" max="4351" width="11.42578125" style="4" customWidth="1"/>
    <col min="4352" max="4352" width="8.7109375" style="4" customWidth="1"/>
    <col min="4353" max="4353" width="23.7109375" style="4" customWidth="1"/>
    <col min="4354" max="4354" width="22" style="4" customWidth="1"/>
    <col min="4355" max="4355" width="24.28515625" style="4" customWidth="1"/>
    <col min="4356" max="4356" width="50" style="4" customWidth="1"/>
    <col min="4357" max="4357" width="14.28515625" style="4" customWidth="1"/>
    <col min="4358" max="4358" width="12.42578125" style="4" customWidth="1"/>
    <col min="4359" max="4359" width="10.5703125" style="4" customWidth="1"/>
    <col min="4360" max="4360" width="59" style="4" customWidth="1"/>
    <col min="4361" max="4361" width="14.28515625" style="4" customWidth="1"/>
    <col min="4362" max="4605" width="9.140625" style="4"/>
    <col min="4606" max="4606" width="13.7109375" style="4" customWidth="1"/>
    <col min="4607" max="4607" width="11.42578125" style="4" customWidth="1"/>
    <col min="4608" max="4608" width="8.7109375" style="4" customWidth="1"/>
    <col min="4609" max="4609" width="23.7109375" style="4" customWidth="1"/>
    <col min="4610" max="4610" width="22" style="4" customWidth="1"/>
    <col min="4611" max="4611" width="24.28515625" style="4" customWidth="1"/>
    <col min="4612" max="4612" width="50" style="4" customWidth="1"/>
    <col min="4613" max="4613" width="14.28515625" style="4" customWidth="1"/>
    <col min="4614" max="4614" width="12.42578125" style="4" customWidth="1"/>
    <col min="4615" max="4615" width="10.5703125" style="4" customWidth="1"/>
    <col min="4616" max="4616" width="59" style="4" customWidth="1"/>
    <col min="4617" max="4617" width="14.28515625" style="4" customWidth="1"/>
    <col min="4618" max="4861" width="9.140625" style="4"/>
    <col min="4862" max="4862" width="13.7109375" style="4" customWidth="1"/>
    <col min="4863" max="4863" width="11.42578125" style="4" customWidth="1"/>
    <col min="4864" max="4864" width="8.7109375" style="4" customWidth="1"/>
    <col min="4865" max="4865" width="23.7109375" style="4" customWidth="1"/>
    <col min="4866" max="4866" width="22" style="4" customWidth="1"/>
    <col min="4867" max="4867" width="24.28515625" style="4" customWidth="1"/>
    <col min="4868" max="4868" width="50" style="4" customWidth="1"/>
    <col min="4869" max="4869" width="14.28515625" style="4" customWidth="1"/>
    <col min="4870" max="4870" width="12.42578125" style="4" customWidth="1"/>
    <col min="4871" max="4871" width="10.5703125" style="4" customWidth="1"/>
    <col min="4872" max="4872" width="59" style="4" customWidth="1"/>
    <col min="4873" max="4873" width="14.28515625" style="4" customWidth="1"/>
    <col min="4874" max="5117" width="9.140625" style="4"/>
    <col min="5118" max="5118" width="13.7109375" style="4" customWidth="1"/>
    <col min="5119" max="5119" width="11.42578125" style="4" customWidth="1"/>
    <col min="5120" max="5120" width="8.7109375" style="4" customWidth="1"/>
    <col min="5121" max="5121" width="23.7109375" style="4" customWidth="1"/>
    <col min="5122" max="5122" width="22" style="4" customWidth="1"/>
    <col min="5123" max="5123" width="24.28515625" style="4" customWidth="1"/>
    <col min="5124" max="5124" width="50" style="4" customWidth="1"/>
    <col min="5125" max="5125" width="14.28515625" style="4" customWidth="1"/>
    <col min="5126" max="5126" width="12.42578125" style="4" customWidth="1"/>
    <col min="5127" max="5127" width="10.5703125" style="4" customWidth="1"/>
    <col min="5128" max="5128" width="59" style="4" customWidth="1"/>
    <col min="5129" max="5129" width="14.28515625" style="4" customWidth="1"/>
    <col min="5130" max="5373" width="9.140625" style="4"/>
    <col min="5374" max="5374" width="13.7109375" style="4" customWidth="1"/>
    <col min="5375" max="5375" width="11.42578125" style="4" customWidth="1"/>
    <col min="5376" max="5376" width="8.7109375" style="4" customWidth="1"/>
    <col min="5377" max="5377" width="23.7109375" style="4" customWidth="1"/>
    <col min="5378" max="5378" width="22" style="4" customWidth="1"/>
    <col min="5379" max="5379" width="24.28515625" style="4" customWidth="1"/>
    <col min="5380" max="5380" width="50" style="4" customWidth="1"/>
    <col min="5381" max="5381" width="14.28515625" style="4" customWidth="1"/>
    <col min="5382" max="5382" width="12.42578125" style="4" customWidth="1"/>
    <col min="5383" max="5383" width="10.5703125" style="4" customWidth="1"/>
    <col min="5384" max="5384" width="59" style="4" customWidth="1"/>
    <col min="5385" max="5385" width="14.28515625" style="4" customWidth="1"/>
    <col min="5386" max="5629" width="9.140625" style="4"/>
    <col min="5630" max="5630" width="13.7109375" style="4" customWidth="1"/>
    <col min="5631" max="5631" width="11.42578125" style="4" customWidth="1"/>
    <col min="5632" max="5632" width="8.7109375" style="4" customWidth="1"/>
    <col min="5633" max="5633" width="23.7109375" style="4" customWidth="1"/>
    <col min="5634" max="5634" width="22" style="4" customWidth="1"/>
    <col min="5635" max="5635" width="24.28515625" style="4" customWidth="1"/>
    <col min="5636" max="5636" width="50" style="4" customWidth="1"/>
    <col min="5637" max="5637" width="14.28515625" style="4" customWidth="1"/>
    <col min="5638" max="5638" width="12.42578125" style="4" customWidth="1"/>
    <col min="5639" max="5639" width="10.5703125" style="4" customWidth="1"/>
    <col min="5640" max="5640" width="59" style="4" customWidth="1"/>
    <col min="5641" max="5641" width="14.28515625" style="4" customWidth="1"/>
    <col min="5642" max="5885" width="9.140625" style="4"/>
    <col min="5886" max="5886" width="13.7109375" style="4" customWidth="1"/>
    <col min="5887" max="5887" width="11.42578125" style="4" customWidth="1"/>
    <col min="5888" max="5888" width="8.7109375" style="4" customWidth="1"/>
    <col min="5889" max="5889" width="23.7109375" style="4" customWidth="1"/>
    <col min="5890" max="5890" width="22" style="4" customWidth="1"/>
    <col min="5891" max="5891" width="24.28515625" style="4" customWidth="1"/>
    <col min="5892" max="5892" width="50" style="4" customWidth="1"/>
    <col min="5893" max="5893" width="14.28515625" style="4" customWidth="1"/>
    <col min="5894" max="5894" width="12.42578125" style="4" customWidth="1"/>
    <col min="5895" max="5895" width="10.5703125" style="4" customWidth="1"/>
    <col min="5896" max="5896" width="59" style="4" customWidth="1"/>
    <col min="5897" max="5897" width="14.28515625" style="4" customWidth="1"/>
    <col min="5898" max="6141" width="9.140625" style="4"/>
    <col min="6142" max="6142" width="13.7109375" style="4" customWidth="1"/>
    <col min="6143" max="6143" width="11.42578125" style="4" customWidth="1"/>
    <col min="6144" max="6144" width="8.7109375" style="4" customWidth="1"/>
    <col min="6145" max="6145" width="23.7109375" style="4" customWidth="1"/>
    <col min="6146" max="6146" width="22" style="4" customWidth="1"/>
    <col min="6147" max="6147" width="24.28515625" style="4" customWidth="1"/>
    <col min="6148" max="6148" width="50" style="4" customWidth="1"/>
    <col min="6149" max="6149" width="14.28515625" style="4" customWidth="1"/>
    <col min="6150" max="6150" width="12.42578125" style="4" customWidth="1"/>
    <col min="6151" max="6151" width="10.5703125" style="4" customWidth="1"/>
    <col min="6152" max="6152" width="59" style="4" customWidth="1"/>
    <col min="6153" max="6153" width="14.28515625" style="4" customWidth="1"/>
    <col min="6154" max="6397" width="9.140625" style="4"/>
    <col min="6398" max="6398" width="13.7109375" style="4" customWidth="1"/>
    <col min="6399" max="6399" width="11.42578125" style="4" customWidth="1"/>
    <col min="6400" max="6400" width="8.7109375" style="4" customWidth="1"/>
    <col min="6401" max="6401" width="23.7109375" style="4" customWidth="1"/>
    <col min="6402" max="6402" width="22" style="4" customWidth="1"/>
    <col min="6403" max="6403" width="24.28515625" style="4" customWidth="1"/>
    <col min="6404" max="6404" width="50" style="4" customWidth="1"/>
    <col min="6405" max="6405" width="14.28515625" style="4" customWidth="1"/>
    <col min="6406" max="6406" width="12.42578125" style="4" customWidth="1"/>
    <col min="6407" max="6407" width="10.5703125" style="4" customWidth="1"/>
    <col min="6408" max="6408" width="59" style="4" customWidth="1"/>
    <col min="6409" max="6409" width="14.28515625" style="4" customWidth="1"/>
    <col min="6410" max="6653" width="9.140625" style="4"/>
    <col min="6654" max="6654" width="13.7109375" style="4" customWidth="1"/>
    <col min="6655" max="6655" width="11.42578125" style="4" customWidth="1"/>
    <col min="6656" max="6656" width="8.7109375" style="4" customWidth="1"/>
    <col min="6657" max="6657" width="23.7109375" style="4" customWidth="1"/>
    <col min="6658" max="6658" width="22" style="4" customWidth="1"/>
    <col min="6659" max="6659" width="24.28515625" style="4" customWidth="1"/>
    <col min="6660" max="6660" width="50" style="4" customWidth="1"/>
    <col min="6661" max="6661" width="14.28515625" style="4" customWidth="1"/>
    <col min="6662" max="6662" width="12.42578125" style="4" customWidth="1"/>
    <col min="6663" max="6663" width="10.5703125" style="4" customWidth="1"/>
    <col min="6664" max="6664" width="59" style="4" customWidth="1"/>
    <col min="6665" max="6665" width="14.28515625" style="4" customWidth="1"/>
    <col min="6666" max="6909" width="9.140625" style="4"/>
    <col min="6910" max="6910" width="13.7109375" style="4" customWidth="1"/>
    <col min="6911" max="6911" width="11.42578125" style="4" customWidth="1"/>
    <col min="6912" max="6912" width="8.7109375" style="4" customWidth="1"/>
    <col min="6913" max="6913" width="23.7109375" style="4" customWidth="1"/>
    <col min="6914" max="6914" width="22" style="4" customWidth="1"/>
    <col min="6915" max="6915" width="24.28515625" style="4" customWidth="1"/>
    <col min="6916" max="6916" width="50" style="4" customWidth="1"/>
    <col min="6917" max="6917" width="14.28515625" style="4" customWidth="1"/>
    <col min="6918" max="6918" width="12.42578125" style="4" customWidth="1"/>
    <col min="6919" max="6919" width="10.5703125" style="4" customWidth="1"/>
    <col min="6920" max="6920" width="59" style="4" customWidth="1"/>
    <col min="6921" max="6921" width="14.28515625" style="4" customWidth="1"/>
    <col min="6922" max="7165" width="9.140625" style="4"/>
    <col min="7166" max="7166" width="13.7109375" style="4" customWidth="1"/>
    <col min="7167" max="7167" width="11.42578125" style="4" customWidth="1"/>
    <col min="7168" max="7168" width="8.7109375" style="4" customWidth="1"/>
    <col min="7169" max="7169" width="23.7109375" style="4" customWidth="1"/>
    <col min="7170" max="7170" width="22" style="4" customWidth="1"/>
    <col min="7171" max="7171" width="24.28515625" style="4" customWidth="1"/>
    <col min="7172" max="7172" width="50" style="4" customWidth="1"/>
    <col min="7173" max="7173" width="14.28515625" style="4" customWidth="1"/>
    <col min="7174" max="7174" width="12.42578125" style="4" customWidth="1"/>
    <col min="7175" max="7175" width="10.5703125" style="4" customWidth="1"/>
    <col min="7176" max="7176" width="59" style="4" customWidth="1"/>
    <col min="7177" max="7177" width="14.28515625" style="4" customWidth="1"/>
    <col min="7178" max="7421" width="9.140625" style="4"/>
    <col min="7422" max="7422" width="13.7109375" style="4" customWidth="1"/>
    <col min="7423" max="7423" width="11.42578125" style="4" customWidth="1"/>
    <col min="7424" max="7424" width="8.7109375" style="4" customWidth="1"/>
    <col min="7425" max="7425" width="23.7109375" style="4" customWidth="1"/>
    <col min="7426" max="7426" width="22" style="4" customWidth="1"/>
    <col min="7427" max="7427" width="24.28515625" style="4" customWidth="1"/>
    <col min="7428" max="7428" width="50" style="4" customWidth="1"/>
    <col min="7429" max="7429" width="14.28515625" style="4" customWidth="1"/>
    <col min="7430" max="7430" width="12.42578125" style="4" customWidth="1"/>
    <col min="7431" max="7431" width="10.5703125" style="4" customWidth="1"/>
    <col min="7432" max="7432" width="59" style="4" customWidth="1"/>
    <col min="7433" max="7433" width="14.28515625" style="4" customWidth="1"/>
    <col min="7434" max="7677" width="9.140625" style="4"/>
    <col min="7678" max="7678" width="13.7109375" style="4" customWidth="1"/>
    <col min="7679" max="7679" width="11.42578125" style="4" customWidth="1"/>
    <col min="7680" max="7680" width="8.7109375" style="4" customWidth="1"/>
    <col min="7681" max="7681" width="23.7109375" style="4" customWidth="1"/>
    <col min="7682" max="7682" width="22" style="4" customWidth="1"/>
    <col min="7683" max="7683" width="24.28515625" style="4" customWidth="1"/>
    <col min="7684" max="7684" width="50" style="4" customWidth="1"/>
    <col min="7685" max="7685" width="14.28515625" style="4" customWidth="1"/>
    <col min="7686" max="7686" width="12.42578125" style="4" customWidth="1"/>
    <col min="7687" max="7687" width="10.5703125" style="4" customWidth="1"/>
    <col min="7688" max="7688" width="59" style="4" customWidth="1"/>
    <col min="7689" max="7689" width="14.28515625" style="4" customWidth="1"/>
    <col min="7690" max="7933" width="9.140625" style="4"/>
    <col min="7934" max="7934" width="13.7109375" style="4" customWidth="1"/>
    <col min="7935" max="7935" width="11.42578125" style="4" customWidth="1"/>
    <col min="7936" max="7936" width="8.7109375" style="4" customWidth="1"/>
    <col min="7937" max="7937" width="23.7109375" style="4" customWidth="1"/>
    <col min="7938" max="7938" width="22" style="4" customWidth="1"/>
    <col min="7939" max="7939" width="24.28515625" style="4" customWidth="1"/>
    <col min="7940" max="7940" width="50" style="4" customWidth="1"/>
    <col min="7941" max="7941" width="14.28515625" style="4" customWidth="1"/>
    <col min="7942" max="7942" width="12.42578125" style="4" customWidth="1"/>
    <col min="7943" max="7943" width="10.5703125" style="4" customWidth="1"/>
    <col min="7944" max="7944" width="59" style="4" customWidth="1"/>
    <col min="7945" max="7945" width="14.28515625" style="4" customWidth="1"/>
    <col min="7946" max="8189" width="9.140625" style="4"/>
    <col min="8190" max="8190" width="13.7109375" style="4" customWidth="1"/>
    <col min="8191" max="8191" width="11.42578125" style="4" customWidth="1"/>
    <col min="8192" max="8192" width="8.7109375" style="4" customWidth="1"/>
    <col min="8193" max="8193" width="23.7109375" style="4" customWidth="1"/>
    <col min="8194" max="8194" width="22" style="4" customWidth="1"/>
    <col min="8195" max="8195" width="24.28515625" style="4" customWidth="1"/>
    <col min="8196" max="8196" width="50" style="4" customWidth="1"/>
    <col min="8197" max="8197" width="14.28515625" style="4" customWidth="1"/>
    <col min="8198" max="8198" width="12.42578125" style="4" customWidth="1"/>
    <col min="8199" max="8199" width="10.5703125" style="4" customWidth="1"/>
    <col min="8200" max="8200" width="59" style="4" customWidth="1"/>
    <col min="8201" max="8201" width="14.28515625" style="4" customWidth="1"/>
    <col min="8202" max="8445" width="9.140625" style="4"/>
    <col min="8446" max="8446" width="13.7109375" style="4" customWidth="1"/>
    <col min="8447" max="8447" width="11.42578125" style="4" customWidth="1"/>
    <col min="8448" max="8448" width="8.7109375" style="4" customWidth="1"/>
    <col min="8449" max="8449" width="23.7109375" style="4" customWidth="1"/>
    <col min="8450" max="8450" width="22" style="4" customWidth="1"/>
    <col min="8451" max="8451" width="24.28515625" style="4" customWidth="1"/>
    <col min="8452" max="8452" width="50" style="4" customWidth="1"/>
    <col min="8453" max="8453" width="14.28515625" style="4" customWidth="1"/>
    <col min="8454" max="8454" width="12.42578125" style="4" customWidth="1"/>
    <col min="8455" max="8455" width="10.5703125" style="4" customWidth="1"/>
    <col min="8456" max="8456" width="59" style="4" customWidth="1"/>
    <col min="8457" max="8457" width="14.28515625" style="4" customWidth="1"/>
    <col min="8458" max="8701" width="9.140625" style="4"/>
    <col min="8702" max="8702" width="13.7109375" style="4" customWidth="1"/>
    <col min="8703" max="8703" width="11.42578125" style="4" customWidth="1"/>
    <col min="8704" max="8704" width="8.7109375" style="4" customWidth="1"/>
    <col min="8705" max="8705" width="23.7109375" style="4" customWidth="1"/>
    <col min="8706" max="8706" width="22" style="4" customWidth="1"/>
    <col min="8707" max="8707" width="24.28515625" style="4" customWidth="1"/>
    <col min="8708" max="8708" width="50" style="4" customWidth="1"/>
    <col min="8709" max="8709" width="14.28515625" style="4" customWidth="1"/>
    <col min="8710" max="8710" width="12.42578125" style="4" customWidth="1"/>
    <col min="8711" max="8711" width="10.5703125" style="4" customWidth="1"/>
    <col min="8712" max="8712" width="59" style="4" customWidth="1"/>
    <col min="8713" max="8713" width="14.28515625" style="4" customWidth="1"/>
    <col min="8714" max="8957" width="9.140625" style="4"/>
    <col min="8958" max="8958" width="13.7109375" style="4" customWidth="1"/>
    <col min="8959" max="8959" width="11.42578125" style="4" customWidth="1"/>
    <col min="8960" max="8960" width="8.7109375" style="4" customWidth="1"/>
    <col min="8961" max="8961" width="23.7109375" style="4" customWidth="1"/>
    <col min="8962" max="8962" width="22" style="4" customWidth="1"/>
    <col min="8963" max="8963" width="24.28515625" style="4" customWidth="1"/>
    <col min="8964" max="8964" width="50" style="4" customWidth="1"/>
    <col min="8965" max="8965" width="14.28515625" style="4" customWidth="1"/>
    <col min="8966" max="8966" width="12.42578125" style="4" customWidth="1"/>
    <col min="8967" max="8967" width="10.5703125" style="4" customWidth="1"/>
    <col min="8968" max="8968" width="59" style="4" customWidth="1"/>
    <col min="8969" max="8969" width="14.28515625" style="4" customWidth="1"/>
    <col min="8970" max="9213" width="9.140625" style="4"/>
    <col min="9214" max="9214" width="13.7109375" style="4" customWidth="1"/>
    <col min="9215" max="9215" width="11.42578125" style="4" customWidth="1"/>
    <col min="9216" max="9216" width="8.7109375" style="4" customWidth="1"/>
    <col min="9217" max="9217" width="23.7109375" style="4" customWidth="1"/>
    <col min="9218" max="9218" width="22" style="4" customWidth="1"/>
    <col min="9219" max="9219" width="24.28515625" style="4" customWidth="1"/>
    <col min="9220" max="9220" width="50" style="4" customWidth="1"/>
    <col min="9221" max="9221" width="14.28515625" style="4" customWidth="1"/>
    <col min="9222" max="9222" width="12.42578125" style="4" customWidth="1"/>
    <col min="9223" max="9223" width="10.5703125" style="4" customWidth="1"/>
    <col min="9224" max="9224" width="59" style="4" customWidth="1"/>
    <col min="9225" max="9225" width="14.28515625" style="4" customWidth="1"/>
    <col min="9226" max="9469" width="9.140625" style="4"/>
    <col min="9470" max="9470" width="13.7109375" style="4" customWidth="1"/>
    <col min="9471" max="9471" width="11.42578125" style="4" customWidth="1"/>
    <col min="9472" max="9472" width="8.7109375" style="4" customWidth="1"/>
    <col min="9473" max="9473" width="23.7109375" style="4" customWidth="1"/>
    <col min="9474" max="9474" width="22" style="4" customWidth="1"/>
    <col min="9475" max="9475" width="24.28515625" style="4" customWidth="1"/>
    <col min="9476" max="9476" width="50" style="4" customWidth="1"/>
    <col min="9477" max="9477" width="14.28515625" style="4" customWidth="1"/>
    <col min="9478" max="9478" width="12.42578125" style="4" customWidth="1"/>
    <col min="9479" max="9479" width="10.5703125" style="4" customWidth="1"/>
    <col min="9480" max="9480" width="59" style="4" customWidth="1"/>
    <col min="9481" max="9481" width="14.28515625" style="4" customWidth="1"/>
    <col min="9482" max="9725" width="9.140625" style="4"/>
    <col min="9726" max="9726" width="13.7109375" style="4" customWidth="1"/>
    <col min="9727" max="9727" width="11.42578125" style="4" customWidth="1"/>
    <col min="9728" max="9728" width="8.7109375" style="4" customWidth="1"/>
    <col min="9729" max="9729" width="23.7109375" style="4" customWidth="1"/>
    <col min="9730" max="9730" width="22" style="4" customWidth="1"/>
    <col min="9731" max="9731" width="24.28515625" style="4" customWidth="1"/>
    <col min="9732" max="9732" width="50" style="4" customWidth="1"/>
    <col min="9733" max="9733" width="14.28515625" style="4" customWidth="1"/>
    <col min="9734" max="9734" width="12.42578125" style="4" customWidth="1"/>
    <col min="9735" max="9735" width="10.5703125" style="4" customWidth="1"/>
    <col min="9736" max="9736" width="59" style="4" customWidth="1"/>
    <col min="9737" max="9737" width="14.28515625" style="4" customWidth="1"/>
    <col min="9738" max="9981" width="9.140625" style="4"/>
    <col min="9982" max="9982" width="13.7109375" style="4" customWidth="1"/>
    <col min="9983" max="9983" width="11.42578125" style="4" customWidth="1"/>
    <col min="9984" max="9984" width="8.7109375" style="4" customWidth="1"/>
    <col min="9985" max="9985" width="23.7109375" style="4" customWidth="1"/>
    <col min="9986" max="9986" width="22" style="4" customWidth="1"/>
    <col min="9987" max="9987" width="24.28515625" style="4" customWidth="1"/>
    <col min="9988" max="9988" width="50" style="4" customWidth="1"/>
    <col min="9989" max="9989" width="14.28515625" style="4" customWidth="1"/>
    <col min="9990" max="9990" width="12.42578125" style="4" customWidth="1"/>
    <col min="9991" max="9991" width="10.5703125" style="4" customWidth="1"/>
    <col min="9992" max="9992" width="59" style="4" customWidth="1"/>
    <col min="9993" max="9993" width="14.28515625" style="4" customWidth="1"/>
    <col min="9994" max="10237" width="9.140625" style="4"/>
    <col min="10238" max="10238" width="13.7109375" style="4" customWidth="1"/>
    <col min="10239" max="10239" width="11.42578125" style="4" customWidth="1"/>
    <col min="10240" max="10240" width="8.7109375" style="4" customWidth="1"/>
    <col min="10241" max="10241" width="23.7109375" style="4" customWidth="1"/>
    <col min="10242" max="10242" width="22" style="4" customWidth="1"/>
    <col min="10243" max="10243" width="24.28515625" style="4" customWidth="1"/>
    <col min="10244" max="10244" width="50" style="4" customWidth="1"/>
    <col min="10245" max="10245" width="14.28515625" style="4" customWidth="1"/>
    <col min="10246" max="10246" width="12.42578125" style="4" customWidth="1"/>
    <col min="10247" max="10247" width="10.5703125" style="4" customWidth="1"/>
    <col min="10248" max="10248" width="59" style="4" customWidth="1"/>
    <col min="10249" max="10249" width="14.28515625" style="4" customWidth="1"/>
    <col min="10250" max="10493" width="9.140625" style="4"/>
    <col min="10494" max="10494" width="13.7109375" style="4" customWidth="1"/>
    <col min="10495" max="10495" width="11.42578125" style="4" customWidth="1"/>
    <col min="10496" max="10496" width="8.7109375" style="4" customWidth="1"/>
    <col min="10497" max="10497" width="23.7109375" style="4" customWidth="1"/>
    <col min="10498" max="10498" width="22" style="4" customWidth="1"/>
    <col min="10499" max="10499" width="24.28515625" style="4" customWidth="1"/>
    <col min="10500" max="10500" width="50" style="4" customWidth="1"/>
    <col min="10501" max="10501" width="14.28515625" style="4" customWidth="1"/>
    <col min="10502" max="10502" width="12.42578125" style="4" customWidth="1"/>
    <col min="10503" max="10503" width="10.5703125" style="4" customWidth="1"/>
    <col min="10504" max="10504" width="59" style="4" customWidth="1"/>
    <col min="10505" max="10505" width="14.28515625" style="4" customWidth="1"/>
    <col min="10506" max="10749" width="9.140625" style="4"/>
    <col min="10750" max="10750" width="13.7109375" style="4" customWidth="1"/>
    <col min="10751" max="10751" width="11.42578125" style="4" customWidth="1"/>
    <col min="10752" max="10752" width="8.7109375" style="4" customWidth="1"/>
    <col min="10753" max="10753" width="23.7109375" style="4" customWidth="1"/>
    <col min="10754" max="10754" width="22" style="4" customWidth="1"/>
    <col min="10755" max="10755" width="24.28515625" style="4" customWidth="1"/>
    <col min="10756" max="10756" width="50" style="4" customWidth="1"/>
    <col min="10757" max="10757" width="14.28515625" style="4" customWidth="1"/>
    <col min="10758" max="10758" width="12.42578125" style="4" customWidth="1"/>
    <col min="10759" max="10759" width="10.5703125" style="4" customWidth="1"/>
    <col min="10760" max="10760" width="59" style="4" customWidth="1"/>
    <col min="10761" max="10761" width="14.28515625" style="4" customWidth="1"/>
    <col min="10762" max="11005" width="9.140625" style="4"/>
    <col min="11006" max="11006" width="13.7109375" style="4" customWidth="1"/>
    <col min="11007" max="11007" width="11.42578125" style="4" customWidth="1"/>
    <col min="11008" max="11008" width="8.7109375" style="4" customWidth="1"/>
    <col min="11009" max="11009" width="23.7109375" style="4" customWidth="1"/>
    <col min="11010" max="11010" width="22" style="4" customWidth="1"/>
    <col min="11011" max="11011" width="24.28515625" style="4" customWidth="1"/>
    <col min="11012" max="11012" width="50" style="4" customWidth="1"/>
    <col min="11013" max="11013" width="14.28515625" style="4" customWidth="1"/>
    <col min="11014" max="11014" width="12.42578125" style="4" customWidth="1"/>
    <col min="11015" max="11015" width="10.5703125" style="4" customWidth="1"/>
    <col min="11016" max="11016" width="59" style="4" customWidth="1"/>
    <col min="11017" max="11017" width="14.28515625" style="4" customWidth="1"/>
    <col min="11018" max="11261" width="9.140625" style="4"/>
    <col min="11262" max="11262" width="13.7109375" style="4" customWidth="1"/>
    <col min="11263" max="11263" width="11.42578125" style="4" customWidth="1"/>
    <col min="11264" max="11264" width="8.7109375" style="4" customWidth="1"/>
    <col min="11265" max="11265" width="23.7109375" style="4" customWidth="1"/>
    <col min="11266" max="11266" width="22" style="4" customWidth="1"/>
    <col min="11267" max="11267" width="24.28515625" style="4" customWidth="1"/>
    <col min="11268" max="11268" width="50" style="4" customWidth="1"/>
    <col min="11269" max="11269" width="14.28515625" style="4" customWidth="1"/>
    <col min="11270" max="11270" width="12.42578125" style="4" customWidth="1"/>
    <col min="11271" max="11271" width="10.5703125" style="4" customWidth="1"/>
    <col min="11272" max="11272" width="59" style="4" customWidth="1"/>
    <col min="11273" max="11273" width="14.28515625" style="4" customWidth="1"/>
    <col min="11274" max="11517" width="9.140625" style="4"/>
    <col min="11518" max="11518" width="13.7109375" style="4" customWidth="1"/>
    <col min="11519" max="11519" width="11.42578125" style="4" customWidth="1"/>
    <col min="11520" max="11520" width="8.7109375" style="4" customWidth="1"/>
    <col min="11521" max="11521" width="23.7109375" style="4" customWidth="1"/>
    <col min="11522" max="11522" width="22" style="4" customWidth="1"/>
    <col min="11523" max="11523" width="24.28515625" style="4" customWidth="1"/>
    <col min="11524" max="11524" width="50" style="4" customWidth="1"/>
    <col min="11525" max="11525" width="14.28515625" style="4" customWidth="1"/>
    <col min="11526" max="11526" width="12.42578125" style="4" customWidth="1"/>
    <col min="11527" max="11527" width="10.5703125" style="4" customWidth="1"/>
    <col min="11528" max="11528" width="59" style="4" customWidth="1"/>
    <col min="11529" max="11529" width="14.28515625" style="4" customWidth="1"/>
    <col min="11530" max="11773" width="9.140625" style="4"/>
    <col min="11774" max="11774" width="13.7109375" style="4" customWidth="1"/>
    <col min="11775" max="11775" width="11.42578125" style="4" customWidth="1"/>
    <col min="11776" max="11776" width="8.7109375" style="4" customWidth="1"/>
    <col min="11777" max="11777" width="23.7109375" style="4" customWidth="1"/>
    <col min="11778" max="11778" width="22" style="4" customWidth="1"/>
    <col min="11779" max="11779" width="24.28515625" style="4" customWidth="1"/>
    <col min="11780" max="11780" width="50" style="4" customWidth="1"/>
    <col min="11781" max="11781" width="14.28515625" style="4" customWidth="1"/>
    <col min="11782" max="11782" width="12.42578125" style="4" customWidth="1"/>
    <col min="11783" max="11783" width="10.5703125" style="4" customWidth="1"/>
    <col min="11784" max="11784" width="59" style="4" customWidth="1"/>
    <col min="11785" max="11785" width="14.28515625" style="4" customWidth="1"/>
    <col min="11786" max="12029" width="9.140625" style="4"/>
    <col min="12030" max="12030" width="13.7109375" style="4" customWidth="1"/>
    <col min="12031" max="12031" width="11.42578125" style="4" customWidth="1"/>
    <col min="12032" max="12032" width="8.7109375" style="4" customWidth="1"/>
    <col min="12033" max="12033" width="23.7109375" style="4" customWidth="1"/>
    <col min="12034" max="12034" width="22" style="4" customWidth="1"/>
    <col min="12035" max="12035" width="24.28515625" style="4" customWidth="1"/>
    <col min="12036" max="12036" width="50" style="4" customWidth="1"/>
    <col min="12037" max="12037" width="14.28515625" style="4" customWidth="1"/>
    <col min="12038" max="12038" width="12.42578125" style="4" customWidth="1"/>
    <col min="12039" max="12039" width="10.5703125" style="4" customWidth="1"/>
    <col min="12040" max="12040" width="59" style="4" customWidth="1"/>
    <col min="12041" max="12041" width="14.28515625" style="4" customWidth="1"/>
    <col min="12042" max="12285" width="9.140625" style="4"/>
    <col min="12286" max="12286" width="13.7109375" style="4" customWidth="1"/>
    <col min="12287" max="12287" width="11.42578125" style="4" customWidth="1"/>
    <col min="12288" max="12288" width="8.7109375" style="4" customWidth="1"/>
    <col min="12289" max="12289" width="23.7109375" style="4" customWidth="1"/>
    <col min="12290" max="12290" width="22" style="4" customWidth="1"/>
    <col min="12291" max="12291" width="24.28515625" style="4" customWidth="1"/>
    <col min="12292" max="12292" width="50" style="4" customWidth="1"/>
    <col min="12293" max="12293" width="14.28515625" style="4" customWidth="1"/>
    <col min="12294" max="12294" width="12.42578125" style="4" customWidth="1"/>
    <col min="12295" max="12295" width="10.5703125" style="4" customWidth="1"/>
    <col min="12296" max="12296" width="59" style="4" customWidth="1"/>
    <col min="12297" max="12297" width="14.28515625" style="4" customWidth="1"/>
    <col min="12298" max="12541" width="9.140625" style="4"/>
    <col min="12542" max="12542" width="13.7109375" style="4" customWidth="1"/>
    <col min="12543" max="12543" width="11.42578125" style="4" customWidth="1"/>
    <col min="12544" max="12544" width="8.7109375" style="4" customWidth="1"/>
    <col min="12545" max="12545" width="23.7109375" style="4" customWidth="1"/>
    <col min="12546" max="12546" width="22" style="4" customWidth="1"/>
    <col min="12547" max="12547" width="24.28515625" style="4" customWidth="1"/>
    <col min="12548" max="12548" width="50" style="4" customWidth="1"/>
    <col min="12549" max="12549" width="14.28515625" style="4" customWidth="1"/>
    <col min="12550" max="12550" width="12.42578125" style="4" customWidth="1"/>
    <col min="12551" max="12551" width="10.5703125" style="4" customWidth="1"/>
    <col min="12552" max="12552" width="59" style="4" customWidth="1"/>
    <col min="12553" max="12553" width="14.28515625" style="4" customWidth="1"/>
    <col min="12554" max="12797" width="9.140625" style="4"/>
    <col min="12798" max="12798" width="13.7109375" style="4" customWidth="1"/>
    <col min="12799" max="12799" width="11.42578125" style="4" customWidth="1"/>
    <col min="12800" max="12800" width="8.7109375" style="4" customWidth="1"/>
    <col min="12801" max="12801" width="23.7109375" style="4" customWidth="1"/>
    <col min="12802" max="12802" width="22" style="4" customWidth="1"/>
    <col min="12803" max="12803" width="24.28515625" style="4" customWidth="1"/>
    <col min="12804" max="12804" width="50" style="4" customWidth="1"/>
    <col min="12805" max="12805" width="14.28515625" style="4" customWidth="1"/>
    <col min="12806" max="12806" width="12.42578125" style="4" customWidth="1"/>
    <col min="12807" max="12807" width="10.5703125" style="4" customWidth="1"/>
    <col min="12808" max="12808" width="59" style="4" customWidth="1"/>
    <col min="12809" max="12809" width="14.28515625" style="4" customWidth="1"/>
    <col min="12810" max="13053" width="9.140625" style="4"/>
    <col min="13054" max="13054" width="13.7109375" style="4" customWidth="1"/>
    <col min="13055" max="13055" width="11.42578125" style="4" customWidth="1"/>
    <col min="13056" max="13056" width="8.7109375" style="4" customWidth="1"/>
    <col min="13057" max="13057" width="23.7109375" style="4" customWidth="1"/>
    <col min="13058" max="13058" width="22" style="4" customWidth="1"/>
    <col min="13059" max="13059" width="24.28515625" style="4" customWidth="1"/>
    <col min="13060" max="13060" width="50" style="4" customWidth="1"/>
    <col min="13061" max="13061" width="14.28515625" style="4" customWidth="1"/>
    <col min="13062" max="13062" width="12.42578125" style="4" customWidth="1"/>
    <col min="13063" max="13063" width="10.5703125" style="4" customWidth="1"/>
    <col min="13064" max="13064" width="59" style="4" customWidth="1"/>
    <col min="13065" max="13065" width="14.28515625" style="4" customWidth="1"/>
    <col min="13066" max="13309" width="9.140625" style="4"/>
    <col min="13310" max="13310" width="13.7109375" style="4" customWidth="1"/>
    <col min="13311" max="13311" width="11.42578125" style="4" customWidth="1"/>
    <col min="13312" max="13312" width="8.7109375" style="4" customWidth="1"/>
    <col min="13313" max="13313" width="23.7109375" style="4" customWidth="1"/>
    <col min="13314" max="13314" width="22" style="4" customWidth="1"/>
    <col min="13315" max="13315" width="24.28515625" style="4" customWidth="1"/>
    <col min="13316" max="13316" width="50" style="4" customWidth="1"/>
    <col min="13317" max="13317" width="14.28515625" style="4" customWidth="1"/>
    <col min="13318" max="13318" width="12.42578125" style="4" customWidth="1"/>
    <col min="13319" max="13319" width="10.5703125" style="4" customWidth="1"/>
    <col min="13320" max="13320" width="59" style="4" customWidth="1"/>
    <col min="13321" max="13321" width="14.28515625" style="4" customWidth="1"/>
    <col min="13322" max="13565" width="9.140625" style="4"/>
    <col min="13566" max="13566" width="13.7109375" style="4" customWidth="1"/>
    <col min="13567" max="13567" width="11.42578125" style="4" customWidth="1"/>
    <col min="13568" max="13568" width="8.7109375" style="4" customWidth="1"/>
    <col min="13569" max="13569" width="23.7109375" style="4" customWidth="1"/>
    <col min="13570" max="13570" width="22" style="4" customWidth="1"/>
    <col min="13571" max="13571" width="24.28515625" style="4" customWidth="1"/>
    <col min="13572" max="13572" width="50" style="4" customWidth="1"/>
    <col min="13573" max="13573" width="14.28515625" style="4" customWidth="1"/>
    <col min="13574" max="13574" width="12.42578125" style="4" customWidth="1"/>
    <col min="13575" max="13575" width="10.5703125" style="4" customWidth="1"/>
    <col min="13576" max="13576" width="59" style="4" customWidth="1"/>
    <col min="13577" max="13577" width="14.28515625" style="4" customWidth="1"/>
    <col min="13578" max="13821" width="9.140625" style="4"/>
    <col min="13822" max="13822" width="13.7109375" style="4" customWidth="1"/>
    <col min="13823" max="13823" width="11.42578125" style="4" customWidth="1"/>
    <col min="13824" max="13824" width="8.7109375" style="4" customWidth="1"/>
    <col min="13825" max="13825" width="23.7109375" style="4" customWidth="1"/>
    <col min="13826" max="13826" width="22" style="4" customWidth="1"/>
    <col min="13827" max="13827" width="24.28515625" style="4" customWidth="1"/>
    <col min="13828" max="13828" width="50" style="4" customWidth="1"/>
    <col min="13829" max="13829" width="14.28515625" style="4" customWidth="1"/>
    <col min="13830" max="13830" width="12.42578125" style="4" customWidth="1"/>
    <col min="13831" max="13831" width="10.5703125" style="4" customWidth="1"/>
    <col min="13832" max="13832" width="59" style="4" customWidth="1"/>
    <col min="13833" max="13833" width="14.28515625" style="4" customWidth="1"/>
    <col min="13834" max="14077" width="9.140625" style="4"/>
    <col min="14078" max="14078" width="13.7109375" style="4" customWidth="1"/>
    <col min="14079" max="14079" width="11.42578125" style="4" customWidth="1"/>
    <col min="14080" max="14080" width="8.7109375" style="4" customWidth="1"/>
    <col min="14081" max="14081" width="23.7109375" style="4" customWidth="1"/>
    <col min="14082" max="14082" width="22" style="4" customWidth="1"/>
    <col min="14083" max="14083" width="24.28515625" style="4" customWidth="1"/>
    <col min="14084" max="14084" width="50" style="4" customWidth="1"/>
    <col min="14085" max="14085" width="14.28515625" style="4" customWidth="1"/>
    <col min="14086" max="14086" width="12.42578125" style="4" customWidth="1"/>
    <col min="14087" max="14087" width="10.5703125" style="4" customWidth="1"/>
    <col min="14088" max="14088" width="59" style="4" customWidth="1"/>
    <col min="14089" max="14089" width="14.28515625" style="4" customWidth="1"/>
    <col min="14090" max="14333" width="9.140625" style="4"/>
    <col min="14334" max="14334" width="13.7109375" style="4" customWidth="1"/>
    <col min="14335" max="14335" width="11.42578125" style="4" customWidth="1"/>
    <col min="14336" max="14336" width="8.7109375" style="4" customWidth="1"/>
    <col min="14337" max="14337" width="23.7109375" style="4" customWidth="1"/>
    <col min="14338" max="14338" width="22" style="4" customWidth="1"/>
    <col min="14339" max="14339" width="24.28515625" style="4" customWidth="1"/>
    <col min="14340" max="14340" width="50" style="4" customWidth="1"/>
    <col min="14341" max="14341" width="14.28515625" style="4" customWidth="1"/>
    <col min="14342" max="14342" width="12.42578125" style="4" customWidth="1"/>
    <col min="14343" max="14343" width="10.5703125" style="4" customWidth="1"/>
    <col min="14344" max="14344" width="59" style="4" customWidth="1"/>
    <col min="14345" max="14345" width="14.28515625" style="4" customWidth="1"/>
    <col min="14346" max="14589" width="9.140625" style="4"/>
    <col min="14590" max="14590" width="13.7109375" style="4" customWidth="1"/>
    <col min="14591" max="14591" width="11.42578125" style="4" customWidth="1"/>
    <col min="14592" max="14592" width="8.7109375" style="4" customWidth="1"/>
    <col min="14593" max="14593" width="23.7109375" style="4" customWidth="1"/>
    <col min="14594" max="14594" width="22" style="4" customWidth="1"/>
    <col min="14595" max="14595" width="24.28515625" style="4" customWidth="1"/>
    <col min="14596" max="14596" width="50" style="4" customWidth="1"/>
    <col min="14597" max="14597" width="14.28515625" style="4" customWidth="1"/>
    <col min="14598" max="14598" width="12.42578125" style="4" customWidth="1"/>
    <col min="14599" max="14599" width="10.5703125" style="4" customWidth="1"/>
    <col min="14600" max="14600" width="59" style="4" customWidth="1"/>
    <col min="14601" max="14601" width="14.28515625" style="4" customWidth="1"/>
    <col min="14602" max="14845" width="9.140625" style="4"/>
    <col min="14846" max="14846" width="13.7109375" style="4" customWidth="1"/>
    <col min="14847" max="14847" width="11.42578125" style="4" customWidth="1"/>
    <col min="14848" max="14848" width="8.7109375" style="4" customWidth="1"/>
    <col min="14849" max="14849" width="23.7109375" style="4" customWidth="1"/>
    <col min="14850" max="14850" width="22" style="4" customWidth="1"/>
    <col min="14851" max="14851" width="24.28515625" style="4" customWidth="1"/>
    <col min="14852" max="14852" width="50" style="4" customWidth="1"/>
    <col min="14853" max="14853" width="14.28515625" style="4" customWidth="1"/>
    <col min="14854" max="14854" width="12.42578125" style="4" customWidth="1"/>
    <col min="14855" max="14855" width="10.5703125" style="4" customWidth="1"/>
    <col min="14856" max="14856" width="59" style="4" customWidth="1"/>
    <col min="14857" max="14857" width="14.28515625" style="4" customWidth="1"/>
    <col min="14858" max="15101" width="9.140625" style="4"/>
    <col min="15102" max="15102" width="13.7109375" style="4" customWidth="1"/>
    <col min="15103" max="15103" width="11.42578125" style="4" customWidth="1"/>
    <col min="15104" max="15104" width="8.7109375" style="4" customWidth="1"/>
    <col min="15105" max="15105" width="23.7109375" style="4" customWidth="1"/>
    <col min="15106" max="15106" width="22" style="4" customWidth="1"/>
    <col min="15107" max="15107" width="24.28515625" style="4" customWidth="1"/>
    <col min="15108" max="15108" width="50" style="4" customWidth="1"/>
    <col min="15109" max="15109" width="14.28515625" style="4" customWidth="1"/>
    <col min="15110" max="15110" width="12.42578125" style="4" customWidth="1"/>
    <col min="15111" max="15111" width="10.5703125" style="4" customWidth="1"/>
    <col min="15112" max="15112" width="59" style="4" customWidth="1"/>
    <col min="15113" max="15113" width="14.28515625" style="4" customWidth="1"/>
    <col min="15114" max="15357" width="9.140625" style="4"/>
    <col min="15358" max="15358" width="13.7109375" style="4" customWidth="1"/>
    <col min="15359" max="15359" width="11.42578125" style="4" customWidth="1"/>
    <col min="15360" max="15360" width="8.7109375" style="4" customWidth="1"/>
    <col min="15361" max="15361" width="23.7109375" style="4" customWidth="1"/>
    <col min="15362" max="15362" width="22" style="4" customWidth="1"/>
    <col min="15363" max="15363" width="24.28515625" style="4" customWidth="1"/>
    <col min="15364" max="15364" width="50" style="4" customWidth="1"/>
    <col min="15365" max="15365" width="14.28515625" style="4" customWidth="1"/>
    <col min="15366" max="15366" width="12.42578125" style="4" customWidth="1"/>
    <col min="15367" max="15367" width="10.5703125" style="4" customWidth="1"/>
    <col min="15368" max="15368" width="59" style="4" customWidth="1"/>
    <col min="15369" max="15369" width="14.28515625" style="4" customWidth="1"/>
    <col min="15370" max="15613" width="9.140625" style="4"/>
    <col min="15614" max="15614" width="13.7109375" style="4" customWidth="1"/>
    <col min="15615" max="15615" width="11.42578125" style="4" customWidth="1"/>
    <col min="15616" max="15616" width="8.7109375" style="4" customWidth="1"/>
    <col min="15617" max="15617" width="23.7109375" style="4" customWidth="1"/>
    <col min="15618" max="15618" width="22" style="4" customWidth="1"/>
    <col min="15619" max="15619" width="24.28515625" style="4" customWidth="1"/>
    <col min="15620" max="15620" width="50" style="4" customWidth="1"/>
    <col min="15621" max="15621" width="14.28515625" style="4" customWidth="1"/>
    <col min="15622" max="15622" width="12.42578125" style="4" customWidth="1"/>
    <col min="15623" max="15623" width="10.5703125" style="4" customWidth="1"/>
    <col min="15624" max="15624" width="59" style="4" customWidth="1"/>
    <col min="15625" max="15625" width="14.28515625" style="4" customWidth="1"/>
    <col min="15626" max="15869" width="9.140625" style="4"/>
    <col min="15870" max="15870" width="13.7109375" style="4" customWidth="1"/>
    <col min="15871" max="15871" width="11.42578125" style="4" customWidth="1"/>
    <col min="15872" max="15872" width="8.7109375" style="4" customWidth="1"/>
    <col min="15873" max="15873" width="23.7109375" style="4" customWidth="1"/>
    <col min="15874" max="15874" width="22" style="4" customWidth="1"/>
    <col min="15875" max="15875" width="24.28515625" style="4" customWidth="1"/>
    <col min="15876" max="15876" width="50" style="4" customWidth="1"/>
    <col min="15877" max="15877" width="14.28515625" style="4" customWidth="1"/>
    <col min="15878" max="15878" width="12.42578125" style="4" customWidth="1"/>
    <col min="15879" max="15879" width="10.5703125" style="4" customWidth="1"/>
    <col min="15880" max="15880" width="59" style="4" customWidth="1"/>
    <col min="15881" max="15881" width="14.28515625" style="4" customWidth="1"/>
    <col min="15882" max="16125" width="9.140625" style="4"/>
    <col min="16126" max="16126" width="13.7109375" style="4" customWidth="1"/>
    <col min="16127" max="16127" width="11.42578125" style="4" customWidth="1"/>
    <col min="16128" max="16128" width="8.7109375" style="4" customWidth="1"/>
    <col min="16129" max="16129" width="23.7109375" style="4" customWidth="1"/>
    <col min="16130" max="16130" width="22" style="4" customWidth="1"/>
    <col min="16131" max="16131" width="24.28515625" style="4" customWidth="1"/>
    <col min="16132" max="16132" width="50" style="4" customWidth="1"/>
    <col min="16133" max="16133" width="14.28515625" style="4" customWidth="1"/>
    <col min="16134" max="16134" width="12.42578125" style="4" customWidth="1"/>
    <col min="16135" max="16135" width="10.5703125" style="4" customWidth="1"/>
    <col min="16136" max="16136" width="59" style="4" customWidth="1"/>
    <col min="16137" max="16137" width="14.28515625" style="4" customWidth="1"/>
    <col min="16138" max="16384" width="9.140625" style="4"/>
  </cols>
  <sheetData>
    <row r="1" spans="1:16" s="550" customFormat="1" ht="36.75" customHeight="1" x14ac:dyDescent="0.2">
      <c r="A1" s="624" t="s">
        <v>286</v>
      </c>
      <c r="B1" s="625" t="s">
        <v>34</v>
      </c>
      <c r="C1" s="625" t="s">
        <v>35</v>
      </c>
      <c r="D1" s="624" t="s">
        <v>287</v>
      </c>
      <c r="E1" s="624" t="s">
        <v>291</v>
      </c>
      <c r="F1" s="626" t="s">
        <v>292</v>
      </c>
      <c r="G1" s="624" t="s">
        <v>288</v>
      </c>
      <c r="H1" s="626" t="s">
        <v>289</v>
      </c>
      <c r="I1" s="626" t="s">
        <v>293</v>
      </c>
      <c r="J1" s="626" t="s">
        <v>410</v>
      </c>
      <c r="K1" s="626" t="s">
        <v>411</v>
      </c>
      <c r="L1" s="626" t="s">
        <v>290</v>
      </c>
      <c r="M1" s="626" t="s">
        <v>78</v>
      </c>
    </row>
    <row r="2" spans="1:16" s="550" customFormat="1" ht="20.100000000000001" customHeight="1" x14ac:dyDescent="0.2">
      <c r="A2" s="619" t="s">
        <v>428</v>
      </c>
      <c r="B2" s="619"/>
      <c r="C2" s="619"/>
      <c r="D2" s="618"/>
      <c r="E2" s="618"/>
      <c r="F2" s="618"/>
      <c r="G2" s="618"/>
      <c r="H2" s="618"/>
      <c r="I2" s="618"/>
      <c r="J2" s="563"/>
      <c r="K2" s="563"/>
      <c r="L2" s="618"/>
      <c r="M2" s="618"/>
    </row>
    <row r="3" spans="1:16" s="550" customFormat="1" ht="20.100000000000001" customHeight="1" x14ac:dyDescent="0.2">
      <c r="A3" s="627">
        <v>39692</v>
      </c>
      <c r="B3" s="628" t="s">
        <v>446</v>
      </c>
      <c r="C3" s="630" t="s">
        <v>407</v>
      </c>
      <c r="D3" s="629" t="s">
        <v>408</v>
      </c>
      <c r="E3" s="630" t="s">
        <v>409</v>
      </c>
      <c r="F3" s="629" t="s">
        <v>414</v>
      </c>
      <c r="G3" s="896" t="s">
        <v>426</v>
      </c>
      <c r="H3" s="631">
        <v>225</v>
      </c>
      <c r="I3" s="631"/>
      <c r="J3" s="631">
        <v>500</v>
      </c>
      <c r="K3" s="630" t="s">
        <v>412</v>
      </c>
      <c r="L3" s="630" t="s">
        <v>413</v>
      </c>
      <c r="M3" s="632" t="s">
        <v>445</v>
      </c>
    </row>
    <row r="4" spans="1:16" s="550" customFormat="1" ht="20.100000000000001" customHeight="1" x14ac:dyDescent="0.2">
      <c r="A4" s="633"/>
      <c r="B4" s="634"/>
      <c r="C4" s="636"/>
      <c r="D4" s="635"/>
      <c r="E4" s="636"/>
      <c r="F4" s="635"/>
      <c r="G4" s="897"/>
      <c r="H4" s="637"/>
      <c r="I4" s="637"/>
      <c r="J4" s="637"/>
      <c r="K4" s="636"/>
      <c r="L4" s="636"/>
      <c r="M4" s="638" t="s">
        <v>415</v>
      </c>
    </row>
    <row r="5" spans="1:16" s="550" customFormat="1" ht="20.100000000000001" customHeight="1" x14ac:dyDescent="0.2">
      <c r="A5" s="619" t="s">
        <v>429</v>
      </c>
      <c r="B5" s="561"/>
      <c r="C5" s="562"/>
      <c r="D5" s="621"/>
      <c r="E5" s="562"/>
      <c r="F5" s="621"/>
      <c r="G5" s="560"/>
      <c r="H5" s="419"/>
      <c r="I5" s="419"/>
      <c r="J5" s="419"/>
      <c r="K5" s="562"/>
      <c r="L5" s="562"/>
      <c r="M5" s="561"/>
    </row>
    <row r="6" spans="1:16" s="550" customFormat="1" ht="20.100000000000001" customHeight="1" x14ac:dyDescent="0.2">
      <c r="A6" s="627">
        <v>39539</v>
      </c>
      <c r="B6" s="628" t="s">
        <v>416</v>
      </c>
      <c r="C6" s="630" t="s">
        <v>447</v>
      </c>
      <c r="D6" s="892" t="s">
        <v>417</v>
      </c>
      <c r="E6" s="630" t="s">
        <v>409</v>
      </c>
      <c r="F6" s="629" t="s">
        <v>421</v>
      </c>
      <c r="G6" s="896" t="s">
        <v>426</v>
      </c>
      <c r="H6" s="631">
        <v>80</v>
      </c>
      <c r="I6" s="631">
        <v>20</v>
      </c>
      <c r="J6" s="631">
        <v>660</v>
      </c>
      <c r="K6" s="630" t="s">
        <v>412</v>
      </c>
      <c r="L6" s="630" t="s">
        <v>418</v>
      </c>
      <c r="M6" s="632" t="s">
        <v>419</v>
      </c>
    </row>
    <row r="7" spans="1:16" s="550" customFormat="1" ht="20.100000000000001" customHeight="1" x14ac:dyDescent="0.2">
      <c r="A7" s="633"/>
      <c r="B7" s="634"/>
      <c r="C7" s="636"/>
      <c r="D7" s="893"/>
      <c r="E7" s="636"/>
      <c r="F7" s="635"/>
      <c r="G7" s="897"/>
      <c r="H7" s="637"/>
      <c r="I7" s="637"/>
      <c r="J7" s="637"/>
      <c r="K7" s="637"/>
      <c r="L7" s="637"/>
      <c r="M7" s="638" t="s">
        <v>420</v>
      </c>
    </row>
    <row r="8" spans="1:16" s="550" customFormat="1" ht="20.100000000000001" customHeight="1" x14ac:dyDescent="0.2">
      <c r="A8" s="623" t="s">
        <v>430</v>
      </c>
      <c r="B8" s="561"/>
      <c r="C8" s="562"/>
      <c r="D8" s="562"/>
      <c r="E8" s="562"/>
      <c r="F8" s="621"/>
      <c r="G8" s="560"/>
      <c r="H8" s="419"/>
      <c r="I8" s="419"/>
      <c r="J8" s="419"/>
      <c r="K8" s="419"/>
      <c r="L8" s="419"/>
      <c r="M8" s="562"/>
    </row>
    <row r="9" spans="1:16" s="550" customFormat="1" ht="20.100000000000001" customHeight="1" x14ac:dyDescent="0.2">
      <c r="A9" s="639">
        <v>40057</v>
      </c>
      <c r="B9" s="640" t="s">
        <v>442</v>
      </c>
      <c r="C9" s="641" t="s">
        <v>284</v>
      </c>
      <c r="D9" s="896" t="s">
        <v>444</v>
      </c>
      <c r="E9" s="896" t="s">
        <v>448</v>
      </c>
      <c r="F9" s="641" t="s">
        <v>84</v>
      </c>
      <c r="G9" s="896" t="s">
        <v>426</v>
      </c>
      <c r="H9" s="642">
        <v>61</v>
      </c>
      <c r="I9" s="642"/>
      <c r="J9" s="642"/>
      <c r="K9" s="642"/>
      <c r="L9" s="642">
        <v>800</v>
      </c>
      <c r="M9" s="632" t="s">
        <v>419</v>
      </c>
      <c r="N9" s="559" t="s">
        <v>424</v>
      </c>
      <c r="O9" s="550">
        <v>42.5</v>
      </c>
      <c r="P9" s="550">
        <v>860</v>
      </c>
    </row>
    <row r="10" spans="1:16" s="550" customFormat="1" ht="20.100000000000001" customHeight="1" x14ac:dyDescent="0.2">
      <c r="A10" s="643"/>
      <c r="B10" s="644"/>
      <c r="C10" s="645"/>
      <c r="D10" s="897"/>
      <c r="E10" s="897"/>
      <c r="F10" s="646"/>
      <c r="G10" s="897"/>
      <c r="H10" s="646"/>
      <c r="I10" s="646"/>
      <c r="J10" s="646"/>
      <c r="K10" s="646"/>
      <c r="L10" s="646"/>
      <c r="M10" s="647" t="s">
        <v>443</v>
      </c>
    </row>
    <row r="11" spans="1:16" s="550" customFormat="1" ht="20.100000000000001" customHeight="1" x14ac:dyDescent="0.2">
      <c r="A11" s="620"/>
      <c r="B11" s="561"/>
      <c r="C11" s="562"/>
      <c r="D11" s="562"/>
      <c r="E11" s="562"/>
      <c r="F11" s="621"/>
      <c r="G11" s="560"/>
      <c r="H11" s="419"/>
      <c r="I11" s="419"/>
      <c r="J11" s="419"/>
      <c r="K11" s="419"/>
      <c r="L11" s="419"/>
      <c r="M11" s="562"/>
    </row>
    <row r="12" spans="1:16" s="550" customFormat="1" ht="20.100000000000001" customHeight="1" x14ac:dyDescent="0.2">
      <c r="A12" s="627">
        <v>39661</v>
      </c>
      <c r="B12" s="892" t="s">
        <v>431</v>
      </c>
      <c r="C12" s="630" t="s">
        <v>432</v>
      </c>
      <c r="D12" s="630" t="s">
        <v>434</v>
      </c>
      <c r="E12" s="630" t="s">
        <v>433</v>
      </c>
      <c r="F12" s="629" t="s">
        <v>83</v>
      </c>
      <c r="G12" s="655" t="s">
        <v>375</v>
      </c>
      <c r="H12" s="631">
        <v>30</v>
      </c>
      <c r="I12" s="631"/>
      <c r="J12" s="631">
        <v>480</v>
      </c>
      <c r="K12" s="631">
        <v>200</v>
      </c>
      <c r="L12" s="631">
        <v>710</v>
      </c>
      <c r="M12" s="632" t="s">
        <v>419</v>
      </c>
    </row>
    <row r="13" spans="1:16" s="550" customFormat="1" ht="20.100000000000001" customHeight="1" x14ac:dyDescent="0.2">
      <c r="A13" s="633"/>
      <c r="B13" s="893"/>
      <c r="C13" s="636"/>
      <c r="D13" s="636"/>
      <c r="E13" s="636"/>
      <c r="F13" s="635"/>
      <c r="G13" s="656"/>
      <c r="H13" s="637"/>
      <c r="I13" s="637"/>
      <c r="J13" s="637"/>
      <c r="K13" s="637"/>
      <c r="L13" s="637"/>
      <c r="M13" s="638" t="s">
        <v>420</v>
      </c>
    </row>
    <row r="14" spans="1:16" s="550" customFormat="1" ht="20.100000000000001" customHeight="1" x14ac:dyDescent="0.2">
      <c r="A14" s="620"/>
      <c r="B14" s="561"/>
      <c r="C14" s="562"/>
      <c r="D14" s="562"/>
      <c r="E14" s="562"/>
      <c r="F14" s="621"/>
      <c r="G14" s="560"/>
      <c r="H14" s="419"/>
      <c r="I14" s="419"/>
      <c r="J14" s="419"/>
      <c r="K14" s="419"/>
      <c r="L14" s="419"/>
      <c r="M14" s="561"/>
    </row>
    <row r="15" spans="1:16" s="550" customFormat="1" ht="20.100000000000001" customHeight="1" x14ac:dyDescent="0.2">
      <c r="A15" s="648">
        <v>39600</v>
      </c>
      <c r="B15" s="649" t="s">
        <v>435</v>
      </c>
      <c r="C15" s="650" t="s">
        <v>436</v>
      </c>
      <c r="D15" s="650" t="s">
        <v>437</v>
      </c>
      <c r="E15" s="650" t="s">
        <v>438</v>
      </c>
      <c r="F15" s="651" t="s">
        <v>441</v>
      </c>
      <c r="G15" s="657" t="s">
        <v>375</v>
      </c>
      <c r="H15" s="894">
        <v>37</v>
      </c>
      <c r="I15" s="894"/>
      <c r="J15" s="895" t="s">
        <v>439</v>
      </c>
      <c r="K15" s="894"/>
      <c r="L15" s="650" t="s">
        <v>440</v>
      </c>
      <c r="M15" s="652" t="s">
        <v>294</v>
      </c>
    </row>
    <row r="16" spans="1:16" s="550" customFormat="1" ht="20.100000000000001" customHeight="1" x14ac:dyDescent="0.2">
      <c r="A16" s="620"/>
      <c r="B16" s="561"/>
      <c r="C16" s="562"/>
      <c r="D16" s="562"/>
      <c r="E16" s="562"/>
      <c r="F16" s="621"/>
      <c r="G16" s="560"/>
      <c r="H16" s="419"/>
      <c r="I16" s="419"/>
      <c r="J16" s="419"/>
      <c r="K16" s="419"/>
      <c r="L16" s="419"/>
      <c r="M16" s="562"/>
    </row>
    <row r="17" spans="1:16" s="550" customFormat="1" ht="33" customHeight="1" x14ac:dyDescent="0.2">
      <c r="A17" s="648">
        <v>39142</v>
      </c>
      <c r="B17" s="658" t="s">
        <v>422</v>
      </c>
      <c r="C17" s="650" t="s">
        <v>338</v>
      </c>
      <c r="D17" s="650" t="s">
        <v>423</v>
      </c>
      <c r="E17" s="650" t="s">
        <v>427</v>
      </c>
      <c r="F17" s="651" t="s">
        <v>84</v>
      </c>
      <c r="G17" s="657" t="s">
        <v>425</v>
      </c>
      <c r="H17" s="653">
        <v>32</v>
      </c>
      <c r="I17" s="653"/>
      <c r="J17" s="894">
        <v>517</v>
      </c>
      <c r="K17" s="894"/>
      <c r="L17" s="653">
        <v>549</v>
      </c>
      <c r="M17" s="654"/>
      <c r="N17" s="559" t="s">
        <v>424</v>
      </c>
      <c r="O17" s="550">
        <v>29</v>
      </c>
      <c r="P17" s="550">
        <v>470</v>
      </c>
    </row>
    <row r="18" spans="1:16" s="550" customFormat="1" ht="20.100000000000001" customHeight="1" x14ac:dyDescent="0.2">
      <c r="A18" s="620"/>
      <c r="B18" s="561"/>
      <c r="C18" s="561"/>
      <c r="D18" s="562"/>
      <c r="E18" s="562"/>
      <c r="F18" s="621"/>
      <c r="G18" s="621"/>
      <c r="H18" s="419"/>
      <c r="I18" s="419"/>
      <c r="J18" s="419"/>
      <c r="K18" s="419"/>
      <c r="L18" s="419"/>
      <c r="M18" s="562"/>
    </row>
    <row r="19" spans="1:16" s="550" customFormat="1" ht="20.100000000000001" customHeight="1" x14ac:dyDescent="0.2">
      <c r="A19" s="620"/>
      <c r="B19" s="561"/>
      <c r="C19" s="561"/>
      <c r="D19" s="562"/>
      <c r="E19" s="562"/>
      <c r="F19" s="562"/>
      <c r="G19" s="562"/>
      <c r="H19" s="419"/>
      <c r="I19" s="419"/>
      <c r="J19" s="419"/>
      <c r="K19" s="419"/>
      <c r="L19" s="419"/>
      <c r="M19" s="562"/>
    </row>
    <row r="20" spans="1:16" s="550" customFormat="1" ht="20.100000000000001" customHeight="1" x14ac:dyDescent="0.2">
      <c r="A20" s="620"/>
      <c r="B20" s="561"/>
      <c r="C20" s="561"/>
      <c r="D20" s="562"/>
      <c r="E20" s="562"/>
      <c r="F20" s="562"/>
      <c r="G20" s="621"/>
      <c r="H20" s="419"/>
      <c r="I20" s="419"/>
      <c r="J20" s="419"/>
      <c r="K20" s="419"/>
      <c r="L20" s="419"/>
      <c r="M20" s="562"/>
    </row>
    <row r="21" spans="1:16" s="550" customFormat="1" ht="20.100000000000001" customHeight="1" x14ac:dyDescent="0.2">
      <c r="A21" s="620"/>
      <c r="B21" s="561"/>
      <c r="C21" s="561"/>
      <c r="D21" s="562"/>
      <c r="E21" s="562"/>
      <c r="F21" s="562"/>
      <c r="G21" s="562"/>
      <c r="H21" s="419"/>
      <c r="I21" s="419"/>
      <c r="J21" s="419"/>
      <c r="K21" s="419"/>
      <c r="L21" s="419"/>
      <c r="M21" s="561"/>
    </row>
    <row r="22" spans="1:16" s="559" customFormat="1" ht="20.100000000000001" customHeight="1" thickBot="1" x14ac:dyDescent="0.25">
      <c r="A22" s="622"/>
      <c r="B22" s="622"/>
      <c r="C22" s="622"/>
      <c r="D22" s="622"/>
      <c r="E22" s="622"/>
      <c r="F22" s="622"/>
      <c r="G22" s="622"/>
      <c r="H22" s="622"/>
      <c r="N22" s="558"/>
    </row>
    <row r="23" spans="1:16" s="550" customFormat="1" ht="20.100000000000001" customHeight="1" thickTop="1" x14ac:dyDescent="0.2">
      <c r="A23" s="622"/>
      <c r="B23" s="622"/>
      <c r="C23" s="622"/>
      <c r="D23" s="622"/>
      <c r="E23" s="622"/>
      <c r="F23" s="622"/>
      <c r="G23" s="622"/>
      <c r="H23" s="622"/>
      <c r="N23" s="617"/>
    </row>
    <row r="24" spans="1:16" s="550" customFormat="1" ht="20.100000000000001" customHeight="1" x14ac:dyDescent="0.2">
      <c r="A24" s="622"/>
      <c r="B24" s="622"/>
      <c r="C24" s="622"/>
      <c r="D24" s="622"/>
      <c r="E24" s="622"/>
      <c r="F24" s="622"/>
      <c r="G24" s="622"/>
      <c r="H24" s="622"/>
      <c r="N24" s="551"/>
    </row>
    <row r="25" spans="1:16" s="550" customFormat="1" ht="20.100000000000001" customHeight="1" x14ac:dyDescent="0.2">
      <c r="A25" s="553"/>
      <c r="B25" s="551"/>
      <c r="C25" s="551"/>
      <c r="D25" s="551"/>
      <c r="E25" s="551"/>
      <c r="F25" s="554"/>
      <c r="G25" s="551"/>
      <c r="H25" s="551"/>
      <c r="N25" s="551"/>
    </row>
    <row r="26" spans="1:16" s="550" customFormat="1" ht="20.100000000000001" customHeight="1" x14ac:dyDescent="0.2">
      <c r="A26" s="553"/>
      <c r="B26" s="551"/>
      <c r="C26" s="551"/>
      <c r="D26" s="551"/>
      <c r="E26" s="551"/>
      <c r="F26" s="554"/>
      <c r="G26" s="551"/>
      <c r="H26" s="551"/>
      <c r="N26" s="551"/>
    </row>
    <row r="27" spans="1:16" s="550" customFormat="1" ht="20.100000000000001" customHeight="1" x14ac:dyDescent="0.2">
      <c r="A27" s="553"/>
      <c r="B27" s="551"/>
      <c r="C27" s="551"/>
      <c r="D27" s="551"/>
      <c r="E27" s="551"/>
      <c r="F27" s="554"/>
      <c r="G27" s="551"/>
      <c r="H27" s="551"/>
      <c r="N27" s="551"/>
    </row>
    <row r="28" spans="1:16" s="550" customFormat="1" ht="20.100000000000001" customHeight="1" x14ac:dyDescent="0.2">
      <c r="A28" s="553"/>
      <c r="B28" s="551"/>
      <c r="C28" s="551"/>
      <c r="D28" s="551"/>
      <c r="E28" s="551"/>
      <c r="F28" s="554"/>
      <c r="G28" s="551"/>
      <c r="H28" s="551"/>
      <c r="N28" s="551"/>
    </row>
    <row r="29" spans="1:16" s="550" customFormat="1" ht="20.100000000000001" customHeight="1" x14ac:dyDescent="0.2">
      <c r="A29" s="553"/>
      <c r="B29" s="551"/>
      <c r="C29" s="551"/>
      <c r="D29" s="551"/>
      <c r="E29" s="551"/>
      <c r="F29" s="554"/>
      <c r="G29" s="551"/>
      <c r="H29" s="551"/>
      <c r="N29" s="551"/>
    </row>
    <row r="30" spans="1:16" s="550" customFormat="1" ht="20.100000000000001" customHeight="1" x14ac:dyDescent="0.2">
      <c r="A30" s="553"/>
      <c r="B30" s="551"/>
      <c r="C30" s="551"/>
      <c r="D30" s="551"/>
      <c r="E30" s="551"/>
      <c r="F30" s="554"/>
      <c r="G30" s="551"/>
      <c r="H30" s="551"/>
      <c r="N30" s="551"/>
    </row>
    <row r="31" spans="1:16" s="550" customFormat="1" ht="20.100000000000001" customHeight="1" x14ac:dyDescent="0.2">
      <c r="A31" s="553"/>
      <c r="B31" s="551"/>
      <c r="C31" s="551"/>
      <c r="D31" s="551"/>
      <c r="E31" s="551"/>
      <c r="F31" s="554"/>
      <c r="G31" s="551"/>
      <c r="H31" s="551"/>
      <c r="N31" s="551"/>
    </row>
    <row r="32" spans="1:16" s="550" customFormat="1" ht="20.100000000000001" customHeight="1" x14ac:dyDescent="0.2">
      <c r="A32" s="553"/>
      <c r="B32" s="551"/>
      <c r="C32" s="551"/>
      <c r="D32" s="551"/>
      <c r="E32" s="551"/>
      <c r="F32" s="554"/>
      <c r="G32" s="551"/>
      <c r="H32" s="551"/>
      <c r="N32" s="551"/>
    </row>
    <row r="33" spans="1:14" s="550" customFormat="1" ht="20.100000000000001" customHeight="1" x14ac:dyDescent="0.2">
      <c r="A33" s="553"/>
      <c r="B33" s="551"/>
      <c r="C33" s="551"/>
      <c r="D33" s="551"/>
      <c r="E33" s="551"/>
      <c r="F33" s="554"/>
      <c r="G33" s="551"/>
      <c r="H33" s="551"/>
      <c r="N33" s="551"/>
    </row>
    <row r="34" spans="1:14" s="550" customFormat="1" ht="20.100000000000001" customHeight="1" x14ac:dyDescent="0.2">
      <c r="A34" s="553"/>
      <c r="B34" s="551"/>
      <c r="C34" s="551"/>
      <c r="D34" s="551"/>
      <c r="E34" s="551"/>
      <c r="F34" s="554"/>
      <c r="G34" s="551"/>
      <c r="H34" s="551"/>
      <c r="N34" s="551"/>
    </row>
    <row r="35" spans="1:14" s="550" customFormat="1" ht="20.100000000000001" customHeight="1" x14ac:dyDescent="0.2">
      <c r="A35" s="553"/>
      <c r="B35" s="551"/>
      <c r="C35" s="551"/>
      <c r="D35" s="551"/>
      <c r="E35" s="551"/>
      <c r="F35" s="554"/>
      <c r="G35" s="551"/>
      <c r="H35" s="551"/>
      <c r="N35" s="551"/>
    </row>
    <row r="36" spans="1:14" s="550" customFormat="1" ht="20.100000000000001" customHeight="1" x14ac:dyDescent="0.2">
      <c r="A36" s="553"/>
      <c r="B36" s="551"/>
      <c r="C36" s="551"/>
      <c r="D36" s="551"/>
      <c r="E36" s="551"/>
      <c r="F36" s="554"/>
      <c r="G36" s="551"/>
      <c r="H36" s="551"/>
      <c r="N36" s="551"/>
    </row>
    <row r="37" spans="1:14" s="550" customFormat="1" ht="20.100000000000001" customHeight="1" x14ac:dyDescent="0.2">
      <c r="A37" s="553"/>
      <c r="B37" s="551"/>
      <c r="C37" s="551"/>
      <c r="D37" s="551"/>
      <c r="E37" s="551"/>
      <c r="F37" s="554"/>
      <c r="G37" s="551"/>
      <c r="H37" s="551"/>
      <c r="N37" s="551"/>
    </row>
    <row r="38" spans="1:14" s="550" customFormat="1" ht="20.100000000000001" customHeight="1" x14ac:dyDescent="0.2">
      <c r="A38" s="553"/>
      <c r="B38" s="551"/>
      <c r="C38" s="551"/>
      <c r="D38" s="551"/>
      <c r="E38" s="551"/>
      <c r="F38" s="554"/>
      <c r="G38" s="551"/>
      <c r="H38" s="551"/>
      <c r="N38" s="551"/>
    </row>
    <row r="39" spans="1:14" s="550" customFormat="1" ht="20.100000000000001" customHeight="1" x14ac:dyDescent="0.2">
      <c r="A39" s="553"/>
      <c r="B39" s="551"/>
      <c r="C39" s="551"/>
      <c r="D39" s="551"/>
      <c r="E39" s="551"/>
      <c r="F39" s="554"/>
      <c r="G39" s="551"/>
      <c r="H39" s="551"/>
      <c r="N39" s="551"/>
    </row>
    <row r="40" spans="1:14" s="550" customFormat="1" ht="20.100000000000001" customHeight="1" x14ac:dyDescent="0.2">
      <c r="A40" s="553"/>
      <c r="B40" s="551"/>
      <c r="C40" s="551"/>
      <c r="D40" s="551"/>
      <c r="E40" s="551"/>
      <c r="F40" s="554"/>
      <c r="G40" s="551"/>
      <c r="H40" s="551"/>
      <c r="N40" s="551"/>
    </row>
    <row r="41" spans="1:14" s="550" customFormat="1" ht="20.100000000000001" customHeight="1" x14ac:dyDescent="0.2">
      <c r="A41" s="553"/>
      <c r="B41" s="551"/>
      <c r="C41" s="551"/>
      <c r="D41" s="551"/>
      <c r="E41" s="551"/>
      <c r="F41" s="554"/>
      <c r="G41" s="551"/>
      <c r="H41" s="551"/>
      <c r="N41" s="551"/>
    </row>
    <row r="42" spans="1:14" s="550" customFormat="1" ht="20.100000000000001" customHeight="1" x14ac:dyDescent="0.2">
      <c r="A42" s="553"/>
      <c r="B42" s="551"/>
      <c r="C42" s="551"/>
      <c r="D42" s="551"/>
      <c r="E42" s="551"/>
      <c r="F42" s="554"/>
      <c r="G42" s="551"/>
      <c r="H42" s="551"/>
      <c r="N42" s="551"/>
    </row>
    <row r="43" spans="1:14" s="550" customFormat="1" ht="20.100000000000001" customHeight="1" x14ac:dyDescent="0.2">
      <c r="A43" s="553"/>
      <c r="B43" s="551"/>
      <c r="C43" s="551"/>
      <c r="D43" s="551"/>
      <c r="E43" s="551"/>
      <c r="F43" s="554"/>
      <c r="G43" s="551"/>
      <c r="H43" s="551"/>
      <c r="N43" s="551"/>
    </row>
    <row r="44" spans="1:14" s="550" customFormat="1" ht="20.100000000000001" customHeight="1" x14ac:dyDescent="0.2">
      <c r="A44" s="553"/>
      <c r="B44" s="551"/>
      <c r="C44" s="551"/>
      <c r="D44" s="551"/>
      <c r="E44" s="551"/>
      <c r="F44" s="554"/>
      <c r="G44" s="551"/>
      <c r="H44" s="551"/>
      <c r="N44" s="551"/>
    </row>
    <row r="45" spans="1:14" s="550" customFormat="1" ht="20.100000000000001" customHeight="1" x14ac:dyDescent="0.2">
      <c r="A45" s="553"/>
      <c r="B45" s="551"/>
      <c r="C45" s="551"/>
      <c r="D45" s="551"/>
      <c r="E45" s="551"/>
      <c r="F45" s="554"/>
      <c r="G45" s="551"/>
      <c r="H45" s="551"/>
      <c r="N45" s="551"/>
    </row>
    <row r="46" spans="1:14" s="550" customFormat="1" ht="20.100000000000001" customHeight="1" x14ac:dyDescent="0.2">
      <c r="A46" s="553"/>
      <c r="B46" s="551"/>
      <c r="C46" s="551"/>
      <c r="D46" s="551"/>
      <c r="E46" s="551"/>
      <c r="F46" s="554"/>
      <c r="G46" s="551"/>
      <c r="H46" s="551"/>
      <c r="N46" s="551"/>
    </row>
    <row r="47" spans="1:14" s="550" customFormat="1" ht="20.100000000000001" customHeight="1" x14ac:dyDescent="0.2">
      <c r="A47" s="553"/>
      <c r="B47" s="551"/>
      <c r="C47" s="551"/>
      <c r="D47" s="551"/>
      <c r="E47" s="551"/>
      <c r="F47" s="554"/>
      <c r="G47" s="551"/>
      <c r="H47" s="551"/>
      <c r="N47" s="551"/>
    </row>
    <row r="48" spans="1:14" s="550" customFormat="1" ht="20.100000000000001" customHeight="1" x14ac:dyDescent="0.2">
      <c r="A48" s="553"/>
      <c r="B48" s="551"/>
      <c r="C48" s="551"/>
      <c r="D48" s="551"/>
      <c r="E48" s="551"/>
      <c r="F48" s="554"/>
      <c r="G48" s="551"/>
      <c r="H48" s="551"/>
      <c r="N48" s="551"/>
    </row>
    <row r="49" spans="1:14" s="550" customFormat="1" ht="20.100000000000001" customHeight="1" x14ac:dyDescent="0.2">
      <c r="A49" s="553"/>
      <c r="B49" s="551"/>
      <c r="C49" s="551"/>
      <c r="D49" s="551"/>
      <c r="E49" s="551"/>
      <c r="F49" s="554"/>
      <c r="G49" s="551"/>
      <c r="H49" s="551"/>
      <c r="N49" s="551"/>
    </row>
    <row r="50" spans="1:14" s="550" customFormat="1" ht="20.100000000000001" customHeight="1" x14ac:dyDescent="0.2">
      <c r="A50" s="553"/>
      <c r="B50" s="551"/>
      <c r="C50" s="551"/>
      <c r="D50" s="551"/>
      <c r="E50" s="551"/>
      <c r="F50" s="554"/>
      <c r="G50" s="551"/>
      <c r="H50" s="551"/>
      <c r="N50" s="551"/>
    </row>
    <row r="51" spans="1:14" s="550" customFormat="1" ht="20.100000000000001" customHeight="1" x14ac:dyDescent="0.2">
      <c r="A51" s="553"/>
      <c r="B51" s="551"/>
      <c r="C51" s="551"/>
      <c r="D51" s="551"/>
      <c r="E51" s="551"/>
      <c r="F51" s="554"/>
      <c r="G51" s="551"/>
      <c r="H51" s="551"/>
      <c r="N51" s="551"/>
    </row>
    <row r="52" spans="1:14" s="550" customFormat="1" ht="20.100000000000001" customHeight="1" x14ac:dyDescent="0.2">
      <c r="A52" s="553"/>
      <c r="B52" s="551"/>
      <c r="C52" s="551"/>
      <c r="D52" s="551"/>
      <c r="E52" s="551"/>
      <c r="F52" s="554"/>
      <c r="G52" s="551"/>
      <c r="H52" s="551"/>
      <c r="N52" s="551"/>
    </row>
    <row r="53" spans="1:14" s="550" customFormat="1" ht="20.100000000000001" customHeight="1" x14ac:dyDescent="0.2">
      <c r="A53" s="553"/>
      <c r="B53" s="551"/>
      <c r="C53" s="551"/>
      <c r="D53" s="551"/>
      <c r="E53" s="551"/>
      <c r="F53" s="554"/>
      <c r="G53" s="551"/>
      <c r="H53" s="551"/>
      <c r="N53" s="551"/>
    </row>
    <row r="54" spans="1:14" s="550" customFormat="1" ht="20.100000000000001" customHeight="1" x14ac:dyDescent="0.2">
      <c r="A54" s="553"/>
      <c r="B54" s="551"/>
      <c r="C54" s="551"/>
      <c r="D54" s="551"/>
      <c r="E54" s="551"/>
      <c r="F54" s="554"/>
      <c r="G54" s="551"/>
      <c r="H54" s="551"/>
      <c r="N54" s="551"/>
    </row>
    <row r="55" spans="1:14" s="550" customFormat="1" ht="20.100000000000001" customHeight="1" x14ac:dyDescent="0.2">
      <c r="A55" s="553"/>
      <c r="B55" s="551"/>
      <c r="C55" s="551"/>
      <c r="D55" s="551"/>
      <c r="E55" s="551"/>
      <c r="F55" s="554"/>
      <c r="G55" s="551"/>
      <c r="H55" s="551"/>
      <c r="N55" s="551"/>
    </row>
    <row r="56" spans="1:14" s="550" customFormat="1" ht="20.100000000000001" customHeight="1" x14ac:dyDescent="0.2">
      <c r="A56" s="553"/>
      <c r="B56" s="551"/>
      <c r="C56" s="551"/>
      <c r="D56" s="551"/>
      <c r="E56" s="551"/>
      <c r="F56" s="554"/>
      <c r="G56" s="551"/>
      <c r="H56" s="551"/>
      <c r="N56" s="551"/>
    </row>
    <row r="57" spans="1:14" s="550" customFormat="1" ht="20.100000000000001" customHeight="1" x14ac:dyDescent="0.2">
      <c r="A57" s="553"/>
      <c r="B57" s="551"/>
      <c r="C57" s="551"/>
      <c r="D57" s="551"/>
      <c r="E57" s="551"/>
      <c r="F57" s="554"/>
      <c r="G57" s="551"/>
      <c r="H57" s="551"/>
      <c r="N57" s="551"/>
    </row>
    <row r="58" spans="1:14" s="550" customFormat="1" ht="20.100000000000001" customHeight="1" x14ac:dyDescent="0.2">
      <c r="A58" s="553"/>
      <c r="B58" s="551"/>
      <c r="C58" s="551"/>
      <c r="D58" s="551"/>
      <c r="E58" s="551"/>
      <c r="F58" s="554"/>
      <c r="G58" s="551"/>
      <c r="H58" s="551"/>
      <c r="N58" s="551"/>
    </row>
    <row r="59" spans="1:14" s="550" customFormat="1" ht="20.100000000000001" customHeight="1" x14ac:dyDescent="0.2">
      <c r="A59" s="553"/>
      <c r="B59" s="551"/>
      <c r="C59" s="551"/>
      <c r="D59" s="551"/>
      <c r="E59" s="551"/>
      <c r="F59" s="554"/>
      <c r="G59" s="551"/>
      <c r="H59" s="551"/>
      <c r="N59" s="551"/>
    </row>
    <row r="60" spans="1:14" s="550" customFormat="1" ht="20.100000000000001" customHeight="1" x14ac:dyDescent="0.2">
      <c r="A60" s="553"/>
      <c r="B60" s="551"/>
      <c r="C60" s="551"/>
      <c r="D60" s="551"/>
      <c r="E60" s="551"/>
      <c r="F60" s="554"/>
      <c r="G60" s="551"/>
      <c r="H60" s="551"/>
      <c r="N60" s="551"/>
    </row>
    <row r="61" spans="1:14" s="550" customFormat="1" ht="20.100000000000001" customHeight="1" x14ac:dyDescent="0.2">
      <c r="A61" s="553"/>
      <c r="B61" s="551"/>
      <c r="C61" s="551"/>
      <c r="D61" s="551"/>
      <c r="E61" s="551"/>
      <c r="F61" s="554"/>
      <c r="G61" s="551"/>
      <c r="H61" s="551"/>
      <c r="N61" s="551"/>
    </row>
    <row r="62" spans="1:14" s="550" customFormat="1" ht="20.100000000000001" customHeight="1" x14ac:dyDescent="0.2">
      <c r="A62" s="553"/>
      <c r="B62" s="551"/>
      <c r="C62" s="551"/>
      <c r="D62" s="551"/>
      <c r="E62" s="551"/>
      <c r="F62" s="554"/>
      <c r="G62" s="551"/>
      <c r="H62" s="551"/>
      <c r="N62" s="551"/>
    </row>
    <row r="63" spans="1:14" s="550" customFormat="1" ht="20.100000000000001" customHeight="1" x14ac:dyDescent="0.2">
      <c r="A63" s="553"/>
      <c r="B63" s="551"/>
      <c r="C63" s="551"/>
      <c r="D63" s="551"/>
      <c r="E63" s="551"/>
      <c r="F63" s="554"/>
      <c r="G63" s="551"/>
      <c r="H63" s="551"/>
      <c r="N63" s="551"/>
    </row>
    <row r="64" spans="1:14" s="550" customFormat="1" ht="20.100000000000001" customHeight="1" x14ac:dyDescent="0.2">
      <c r="A64" s="553"/>
      <c r="B64" s="551"/>
      <c r="C64" s="551"/>
      <c r="D64" s="551"/>
      <c r="E64" s="551"/>
      <c r="F64" s="554"/>
      <c r="G64" s="551"/>
      <c r="H64" s="551"/>
      <c r="N64" s="551"/>
    </row>
    <row r="65" spans="1:14" s="550" customFormat="1" ht="20.100000000000001" customHeight="1" x14ac:dyDescent="0.2">
      <c r="A65" s="553"/>
      <c r="B65" s="551"/>
      <c r="C65" s="551"/>
      <c r="D65" s="551"/>
      <c r="E65" s="551"/>
      <c r="F65" s="554"/>
      <c r="G65" s="551"/>
      <c r="H65" s="551"/>
      <c r="N65" s="551"/>
    </row>
    <row r="66" spans="1:14" s="550" customFormat="1" ht="20.100000000000001" customHeight="1" x14ac:dyDescent="0.2">
      <c r="A66" s="553"/>
      <c r="B66" s="551"/>
      <c r="C66" s="551"/>
      <c r="D66" s="551"/>
      <c r="E66" s="551"/>
      <c r="F66" s="554"/>
      <c r="G66" s="551"/>
      <c r="H66" s="551"/>
      <c r="N66" s="551"/>
    </row>
    <row r="67" spans="1:14" s="550" customFormat="1" ht="20.100000000000001" customHeight="1" x14ac:dyDescent="0.2">
      <c r="A67" s="553"/>
      <c r="B67" s="551"/>
      <c r="C67" s="551"/>
      <c r="D67" s="551"/>
      <c r="E67" s="551"/>
      <c r="F67" s="554"/>
      <c r="G67" s="551"/>
      <c r="H67" s="551"/>
      <c r="N67" s="551"/>
    </row>
    <row r="68" spans="1:14" s="550" customFormat="1" ht="20.100000000000001" customHeight="1" x14ac:dyDescent="0.2">
      <c r="A68" s="553"/>
      <c r="B68" s="551"/>
      <c r="C68" s="551"/>
      <c r="D68" s="551"/>
      <c r="E68" s="551"/>
      <c r="F68" s="554"/>
      <c r="G68" s="551"/>
      <c r="H68" s="551"/>
      <c r="N68" s="551"/>
    </row>
    <row r="69" spans="1:14" s="550" customFormat="1" ht="20.100000000000001" customHeight="1" x14ac:dyDescent="0.2">
      <c r="A69" s="553"/>
      <c r="B69" s="551"/>
      <c r="C69" s="551"/>
      <c r="D69" s="551"/>
      <c r="E69" s="551"/>
      <c r="F69" s="554"/>
      <c r="G69" s="551"/>
      <c r="H69" s="551"/>
      <c r="N69" s="551"/>
    </row>
    <row r="70" spans="1:14" s="550" customFormat="1" ht="20.100000000000001" customHeight="1" x14ac:dyDescent="0.2">
      <c r="A70" s="553"/>
      <c r="B70" s="551"/>
      <c r="C70" s="551"/>
      <c r="D70" s="551"/>
      <c r="E70" s="551"/>
      <c r="F70" s="554"/>
      <c r="G70" s="551"/>
      <c r="H70" s="551"/>
      <c r="N70" s="551"/>
    </row>
    <row r="71" spans="1:14" s="550" customFormat="1" ht="20.100000000000001" customHeight="1" x14ac:dyDescent="0.2">
      <c r="A71" s="553"/>
      <c r="B71" s="551"/>
      <c r="C71" s="551"/>
      <c r="D71" s="551"/>
      <c r="E71" s="551"/>
      <c r="F71" s="554"/>
      <c r="G71" s="551"/>
      <c r="H71" s="551"/>
      <c r="N71" s="551"/>
    </row>
    <row r="72" spans="1:14" s="550" customFormat="1" ht="20.100000000000001" customHeight="1" x14ac:dyDescent="0.2">
      <c r="A72" s="553"/>
      <c r="B72" s="551"/>
      <c r="C72" s="551"/>
      <c r="D72" s="551"/>
      <c r="E72" s="551"/>
      <c r="F72" s="554"/>
      <c r="G72" s="551"/>
      <c r="H72" s="551"/>
      <c r="N72" s="551"/>
    </row>
    <row r="73" spans="1:14" s="550" customFormat="1" ht="20.100000000000001" customHeight="1" x14ac:dyDescent="0.2">
      <c r="A73" s="553"/>
      <c r="B73" s="551"/>
      <c r="C73" s="551"/>
      <c r="D73" s="551"/>
      <c r="E73" s="551"/>
      <c r="F73" s="554"/>
      <c r="G73" s="551"/>
      <c r="H73" s="551"/>
      <c r="N73" s="551"/>
    </row>
    <row r="74" spans="1:14" s="550" customFormat="1" ht="20.100000000000001" customHeight="1" x14ac:dyDescent="0.2">
      <c r="A74" s="553"/>
      <c r="B74" s="551"/>
      <c r="C74" s="551"/>
      <c r="D74" s="551"/>
      <c r="E74" s="551"/>
      <c r="F74" s="554"/>
      <c r="G74" s="551"/>
      <c r="H74" s="551"/>
      <c r="N74" s="551"/>
    </row>
    <row r="75" spans="1:14" s="550" customFormat="1" ht="20.100000000000001" customHeight="1" x14ac:dyDescent="0.2">
      <c r="A75" s="553"/>
      <c r="B75" s="551"/>
      <c r="C75" s="551"/>
      <c r="D75" s="551"/>
      <c r="E75" s="551"/>
      <c r="F75" s="554"/>
      <c r="G75" s="551"/>
      <c r="H75" s="551"/>
      <c r="N75" s="551"/>
    </row>
    <row r="76" spans="1:14" s="550" customFormat="1" ht="20.100000000000001" customHeight="1" x14ac:dyDescent="0.2">
      <c r="A76" s="553"/>
      <c r="B76" s="551"/>
      <c r="C76" s="551"/>
      <c r="D76" s="551"/>
      <c r="E76" s="551"/>
      <c r="F76" s="554"/>
      <c r="G76" s="551"/>
      <c r="H76" s="551"/>
      <c r="N76" s="551"/>
    </row>
    <row r="77" spans="1:14" s="550" customFormat="1" ht="20.100000000000001" customHeight="1" x14ac:dyDescent="0.2">
      <c r="A77" s="553"/>
      <c r="B77" s="551"/>
      <c r="C77" s="551"/>
      <c r="D77" s="551"/>
      <c r="E77" s="551"/>
      <c r="F77" s="554"/>
      <c r="G77" s="551"/>
      <c r="H77" s="551"/>
      <c r="N77" s="551"/>
    </row>
    <row r="78" spans="1:14" s="550" customFormat="1" ht="20.100000000000001" customHeight="1" x14ac:dyDescent="0.2">
      <c r="A78" s="553"/>
      <c r="B78" s="551"/>
      <c r="C78" s="551"/>
      <c r="D78" s="551"/>
      <c r="E78" s="551"/>
      <c r="F78" s="554"/>
      <c r="G78" s="551"/>
      <c r="H78" s="551"/>
      <c r="N78" s="551"/>
    </row>
    <row r="79" spans="1:14" s="550" customFormat="1" ht="20.100000000000001" customHeight="1" x14ac:dyDescent="0.2">
      <c r="A79" s="553"/>
      <c r="B79" s="551"/>
      <c r="C79" s="551"/>
      <c r="D79" s="551"/>
      <c r="E79" s="551"/>
      <c r="F79" s="554"/>
      <c r="G79" s="551"/>
      <c r="H79" s="551"/>
      <c r="N79" s="551"/>
    </row>
    <row r="80" spans="1:14" s="550" customFormat="1" ht="20.100000000000001" customHeight="1" x14ac:dyDescent="0.2">
      <c r="A80" s="553"/>
      <c r="B80" s="551"/>
      <c r="C80" s="551"/>
      <c r="D80" s="551"/>
      <c r="E80" s="551"/>
      <c r="F80" s="554"/>
      <c r="G80" s="551"/>
      <c r="H80" s="551"/>
      <c r="N80" s="551"/>
    </row>
    <row r="81" spans="1:14" s="550" customFormat="1" ht="20.100000000000001" customHeight="1" x14ac:dyDescent="0.2">
      <c r="A81" s="553"/>
      <c r="B81" s="551"/>
      <c r="C81" s="551"/>
      <c r="D81" s="551"/>
      <c r="E81" s="551"/>
      <c r="F81" s="554"/>
      <c r="G81" s="551"/>
      <c r="H81" s="551"/>
      <c r="N81" s="551"/>
    </row>
    <row r="82" spans="1:14" s="550" customFormat="1" ht="20.100000000000001" customHeight="1" x14ac:dyDescent="0.2">
      <c r="A82" s="553"/>
      <c r="B82" s="551"/>
      <c r="C82" s="551"/>
      <c r="D82" s="551"/>
      <c r="E82" s="551"/>
      <c r="F82" s="554"/>
      <c r="G82" s="551"/>
      <c r="H82" s="551"/>
      <c r="N82" s="551"/>
    </row>
    <row r="83" spans="1:14" s="550" customFormat="1" ht="20.100000000000001" customHeight="1" x14ac:dyDescent="0.2">
      <c r="A83" s="553"/>
      <c r="B83" s="551"/>
      <c r="C83" s="551"/>
      <c r="D83" s="551"/>
      <c r="E83" s="551"/>
      <c r="F83" s="554"/>
      <c r="G83" s="551"/>
      <c r="H83" s="551"/>
      <c r="N83" s="551"/>
    </row>
    <row r="84" spans="1:14" s="550" customFormat="1" ht="20.100000000000001" customHeight="1" x14ac:dyDescent="0.2">
      <c r="A84" s="553"/>
      <c r="B84" s="551"/>
      <c r="C84" s="551"/>
      <c r="D84" s="551"/>
      <c r="E84" s="551"/>
      <c r="F84" s="554"/>
      <c r="G84" s="551"/>
      <c r="H84" s="551"/>
      <c r="N84" s="551"/>
    </row>
    <row r="85" spans="1:14" s="550" customFormat="1" ht="20.100000000000001" customHeight="1" x14ac:dyDescent="0.2">
      <c r="A85" s="553"/>
      <c r="B85" s="551"/>
      <c r="C85" s="551"/>
      <c r="D85" s="551"/>
      <c r="E85" s="551"/>
      <c r="F85" s="554"/>
      <c r="G85" s="551"/>
      <c r="H85" s="551"/>
      <c r="N85" s="551"/>
    </row>
    <row r="86" spans="1:14" s="550" customFormat="1" ht="20.100000000000001" customHeight="1" x14ac:dyDescent="0.2">
      <c r="A86" s="553"/>
      <c r="B86" s="551"/>
      <c r="C86" s="551"/>
      <c r="D86" s="551"/>
      <c r="E86" s="551"/>
      <c r="F86" s="554"/>
      <c r="G86" s="551"/>
      <c r="H86" s="551"/>
      <c r="N86" s="551"/>
    </row>
    <row r="87" spans="1:14" s="550" customFormat="1" ht="20.100000000000001" customHeight="1" x14ac:dyDescent="0.2">
      <c r="A87" s="553"/>
      <c r="B87" s="551"/>
      <c r="C87" s="551"/>
      <c r="D87" s="551"/>
      <c r="E87" s="551"/>
      <c r="F87" s="554"/>
      <c r="G87" s="551"/>
      <c r="H87" s="551"/>
      <c r="N87" s="551"/>
    </row>
    <row r="88" spans="1:14" s="550" customFormat="1" ht="20.100000000000001" customHeight="1" x14ac:dyDescent="0.2">
      <c r="A88" s="553"/>
      <c r="B88" s="551"/>
      <c r="C88" s="551"/>
      <c r="D88" s="551"/>
      <c r="E88" s="551"/>
      <c r="F88" s="554"/>
      <c r="G88" s="551"/>
      <c r="H88" s="551"/>
      <c r="N88" s="551"/>
    </row>
    <row r="89" spans="1:14" s="550" customFormat="1" ht="20.100000000000001" customHeight="1" x14ac:dyDescent="0.2">
      <c r="A89" s="553"/>
      <c r="B89" s="551"/>
      <c r="C89" s="551"/>
      <c r="D89" s="551"/>
      <c r="E89" s="551"/>
      <c r="F89" s="554"/>
      <c r="G89" s="551"/>
      <c r="H89" s="551"/>
      <c r="N89" s="551"/>
    </row>
    <row r="90" spans="1:14" s="550" customFormat="1" ht="20.100000000000001" customHeight="1" x14ac:dyDescent="0.2">
      <c r="A90" s="553"/>
      <c r="B90" s="551"/>
      <c r="C90" s="551"/>
      <c r="D90" s="551"/>
      <c r="E90" s="551"/>
      <c r="F90" s="554"/>
      <c r="G90" s="551"/>
      <c r="H90" s="551"/>
      <c r="N90" s="551"/>
    </row>
    <row r="91" spans="1:14" s="550" customFormat="1" ht="20.100000000000001" customHeight="1" x14ac:dyDescent="0.2">
      <c r="A91" s="553"/>
      <c r="B91" s="551"/>
      <c r="C91" s="551"/>
      <c r="D91" s="551"/>
      <c r="E91" s="551"/>
      <c r="F91" s="554"/>
      <c r="G91" s="551"/>
      <c r="H91" s="551"/>
      <c r="N91" s="551"/>
    </row>
    <row r="92" spans="1:14" s="550" customFormat="1" ht="20.100000000000001" customHeight="1" x14ac:dyDescent="0.2">
      <c r="A92" s="553"/>
      <c r="B92" s="551"/>
      <c r="C92" s="551"/>
      <c r="D92" s="551"/>
      <c r="E92" s="551"/>
      <c r="F92" s="554"/>
      <c r="G92" s="551"/>
      <c r="H92" s="551"/>
      <c r="N92" s="551"/>
    </row>
    <row r="93" spans="1:14" s="550" customFormat="1" ht="20.100000000000001" customHeight="1" x14ac:dyDescent="0.2">
      <c r="A93" s="553"/>
      <c r="B93" s="551"/>
      <c r="C93" s="551"/>
      <c r="D93" s="551"/>
      <c r="E93" s="551"/>
      <c r="F93" s="554"/>
      <c r="G93" s="551"/>
      <c r="H93" s="551"/>
      <c r="N93" s="551"/>
    </row>
    <row r="94" spans="1:14" s="550" customFormat="1" ht="20.100000000000001" customHeight="1" x14ac:dyDescent="0.2">
      <c r="A94" s="553"/>
      <c r="B94" s="551"/>
      <c r="C94" s="551"/>
      <c r="D94" s="551"/>
      <c r="E94" s="551"/>
      <c r="F94" s="554"/>
      <c r="G94" s="551"/>
      <c r="H94" s="551"/>
      <c r="N94" s="551"/>
    </row>
    <row r="95" spans="1:14" s="550" customFormat="1" ht="20.100000000000001" customHeight="1" x14ac:dyDescent="0.2">
      <c r="A95" s="553"/>
      <c r="B95" s="551"/>
      <c r="C95" s="551"/>
      <c r="D95" s="551"/>
      <c r="E95" s="551"/>
      <c r="F95" s="554"/>
      <c r="G95" s="551"/>
      <c r="H95" s="551"/>
      <c r="N95" s="551"/>
    </row>
    <row r="96" spans="1:14" s="550" customFormat="1" ht="20.100000000000001" customHeight="1" x14ac:dyDescent="0.2">
      <c r="A96" s="553"/>
      <c r="B96" s="551"/>
      <c r="C96" s="551"/>
      <c r="D96" s="551"/>
      <c r="E96" s="551"/>
      <c r="F96" s="554"/>
      <c r="G96" s="551"/>
      <c r="H96" s="551"/>
      <c r="N96" s="551"/>
    </row>
    <row r="97" spans="1:14" s="550" customFormat="1" ht="20.100000000000001" customHeight="1" x14ac:dyDescent="0.2">
      <c r="A97" s="553"/>
      <c r="B97" s="551"/>
      <c r="C97" s="551"/>
      <c r="D97" s="551"/>
      <c r="E97" s="551"/>
      <c r="F97" s="554"/>
      <c r="G97" s="551"/>
      <c r="H97" s="551"/>
      <c r="N97" s="551"/>
    </row>
    <row r="98" spans="1:14" s="550" customFormat="1" ht="20.100000000000001" customHeight="1" x14ac:dyDescent="0.2">
      <c r="A98" s="553"/>
      <c r="B98" s="551"/>
      <c r="C98" s="551"/>
      <c r="D98" s="551"/>
      <c r="E98" s="551"/>
      <c r="F98" s="554"/>
      <c r="G98" s="551"/>
      <c r="H98" s="551"/>
      <c r="N98" s="551"/>
    </row>
    <row r="99" spans="1:14" s="550" customFormat="1" ht="20.100000000000001" customHeight="1" x14ac:dyDescent="0.2">
      <c r="A99" s="553"/>
      <c r="B99" s="551"/>
      <c r="C99" s="551"/>
      <c r="D99" s="551"/>
      <c r="E99" s="551"/>
      <c r="F99" s="554"/>
      <c r="G99" s="551"/>
      <c r="H99" s="551"/>
      <c r="N99" s="551"/>
    </row>
    <row r="100" spans="1:14" s="550" customFormat="1" ht="20.100000000000001" customHeight="1" x14ac:dyDescent="0.2">
      <c r="A100" s="553"/>
      <c r="B100" s="551"/>
      <c r="C100" s="551"/>
      <c r="D100" s="551"/>
      <c r="E100" s="551"/>
      <c r="F100" s="554"/>
      <c r="G100" s="551"/>
      <c r="H100" s="551"/>
      <c r="N100" s="551"/>
    </row>
    <row r="101" spans="1:14" s="550" customFormat="1" ht="20.100000000000001" customHeight="1" x14ac:dyDescent="0.2">
      <c r="A101" s="553"/>
      <c r="B101" s="551"/>
      <c r="C101" s="551"/>
      <c r="D101" s="551"/>
      <c r="E101" s="551"/>
      <c r="F101" s="554"/>
      <c r="G101" s="551"/>
      <c r="H101" s="551"/>
      <c r="N101" s="551"/>
    </row>
    <row r="102" spans="1:14" s="550" customFormat="1" ht="20.100000000000001" customHeight="1" x14ac:dyDescent="0.2">
      <c r="A102" s="553"/>
      <c r="B102" s="551"/>
      <c r="C102" s="551"/>
      <c r="D102" s="551"/>
      <c r="E102" s="551"/>
      <c r="F102" s="554"/>
      <c r="G102" s="551"/>
      <c r="H102" s="551"/>
      <c r="N102" s="551"/>
    </row>
    <row r="103" spans="1:14" s="550" customFormat="1" ht="20.100000000000001" customHeight="1" x14ac:dyDescent="0.2">
      <c r="A103" s="553"/>
      <c r="B103" s="551"/>
      <c r="C103" s="551"/>
      <c r="D103" s="551"/>
      <c r="E103" s="551"/>
      <c r="F103" s="554"/>
      <c r="G103" s="551"/>
      <c r="H103" s="551"/>
      <c r="N103" s="551"/>
    </row>
    <row r="104" spans="1:14" s="550" customFormat="1" ht="20.100000000000001" customHeight="1" x14ac:dyDescent="0.2">
      <c r="A104" s="553"/>
      <c r="B104" s="551"/>
      <c r="C104" s="551"/>
      <c r="D104" s="551"/>
      <c r="E104" s="551"/>
      <c r="F104" s="554"/>
      <c r="G104" s="551"/>
      <c r="H104" s="551"/>
      <c r="N104" s="551"/>
    </row>
    <row r="105" spans="1:14" s="550" customFormat="1" ht="20.100000000000001" customHeight="1" x14ac:dyDescent="0.2">
      <c r="A105" s="553"/>
      <c r="B105" s="551"/>
      <c r="C105" s="551"/>
      <c r="D105" s="551"/>
      <c r="E105" s="551"/>
      <c r="F105" s="554"/>
      <c r="G105" s="551"/>
      <c r="H105" s="551"/>
      <c r="N105" s="551"/>
    </row>
    <row r="106" spans="1:14" s="550" customFormat="1" ht="20.100000000000001" customHeight="1" x14ac:dyDescent="0.2">
      <c r="A106" s="553"/>
      <c r="B106" s="551"/>
      <c r="C106" s="551"/>
      <c r="D106" s="551"/>
      <c r="E106" s="551"/>
      <c r="F106" s="554"/>
      <c r="G106" s="551"/>
      <c r="H106" s="551"/>
      <c r="N106" s="551"/>
    </row>
    <row r="107" spans="1:14" s="550" customFormat="1" ht="20.100000000000001" customHeight="1" x14ac:dyDescent="0.2">
      <c r="A107" s="553"/>
      <c r="B107" s="551"/>
      <c r="C107" s="551"/>
      <c r="D107" s="551"/>
      <c r="E107" s="551"/>
      <c r="F107" s="554"/>
      <c r="G107" s="551"/>
      <c r="H107" s="551"/>
      <c r="N107" s="551"/>
    </row>
    <row r="108" spans="1:14" s="550" customFormat="1" ht="20.100000000000001" customHeight="1" x14ac:dyDescent="0.2">
      <c r="A108" s="553"/>
      <c r="B108" s="551"/>
      <c r="C108" s="551"/>
      <c r="D108" s="551"/>
      <c r="E108" s="551"/>
      <c r="F108" s="554"/>
      <c r="G108" s="551"/>
      <c r="H108" s="551"/>
      <c r="N108" s="551"/>
    </row>
    <row r="109" spans="1:14" s="550" customFormat="1" ht="20.100000000000001" customHeight="1" x14ac:dyDescent="0.2">
      <c r="A109" s="553"/>
      <c r="B109" s="551"/>
      <c r="C109" s="551"/>
      <c r="D109" s="551"/>
      <c r="E109" s="551"/>
      <c r="F109" s="554"/>
      <c r="G109" s="551"/>
      <c r="H109" s="551"/>
      <c r="N109" s="551"/>
    </row>
    <row r="110" spans="1:14" s="550" customFormat="1" ht="20.100000000000001" customHeight="1" x14ac:dyDescent="0.2">
      <c r="A110" s="553"/>
      <c r="B110" s="551"/>
      <c r="C110" s="551"/>
      <c r="D110" s="551"/>
      <c r="E110" s="551"/>
      <c r="F110" s="554"/>
      <c r="G110" s="551"/>
      <c r="H110" s="551"/>
      <c r="N110" s="551"/>
    </row>
    <row r="111" spans="1:14" s="550" customFormat="1" ht="20.100000000000001" customHeight="1" x14ac:dyDescent="0.2">
      <c r="A111" s="553"/>
      <c r="B111" s="551"/>
      <c r="C111" s="551"/>
      <c r="D111" s="551"/>
      <c r="E111" s="551"/>
      <c r="F111" s="554"/>
      <c r="G111" s="551"/>
      <c r="H111" s="551"/>
      <c r="N111" s="551"/>
    </row>
    <row r="112" spans="1:14" s="550" customFormat="1" ht="20.100000000000001" customHeight="1" x14ac:dyDescent="0.2">
      <c r="A112" s="553"/>
      <c r="B112" s="551"/>
      <c r="C112" s="551"/>
      <c r="D112" s="551"/>
      <c r="E112" s="551"/>
      <c r="F112" s="554"/>
      <c r="G112" s="551"/>
      <c r="H112" s="551"/>
      <c r="N112" s="551"/>
    </row>
    <row r="113" spans="1:14" s="550" customFormat="1" ht="20.100000000000001" customHeight="1" x14ac:dyDescent="0.2">
      <c r="A113" s="553"/>
      <c r="B113" s="551"/>
      <c r="C113" s="551"/>
      <c r="D113" s="551"/>
      <c r="E113" s="551"/>
      <c r="F113" s="554"/>
      <c r="G113" s="551"/>
      <c r="H113" s="551"/>
      <c r="N113" s="551"/>
    </row>
    <row r="114" spans="1:14" s="550" customFormat="1" ht="20.100000000000001" customHeight="1" x14ac:dyDescent="0.2">
      <c r="A114" s="553"/>
      <c r="B114" s="551"/>
      <c r="C114" s="551"/>
      <c r="D114" s="551"/>
      <c r="E114" s="551"/>
      <c r="F114" s="555"/>
      <c r="G114" s="551"/>
      <c r="H114" s="551"/>
      <c r="N114" s="551"/>
    </row>
    <row r="115" spans="1:14" s="550" customFormat="1" ht="20.100000000000001" customHeight="1" x14ac:dyDescent="0.2">
      <c r="A115" s="553"/>
      <c r="B115" s="551"/>
      <c r="C115" s="551"/>
      <c r="D115" s="551"/>
      <c r="E115" s="551"/>
      <c r="F115" s="555"/>
      <c r="G115" s="551"/>
      <c r="H115" s="551"/>
      <c r="N115" s="551"/>
    </row>
    <row r="116" spans="1:14" s="550" customFormat="1" ht="20.100000000000001" customHeight="1" x14ac:dyDescent="0.2">
      <c r="A116" s="553"/>
      <c r="B116" s="551"/>
      <c r="C116" s="551"/>
      <c r="D116" s="551"/>
      <c r="E116" s="551"/>
      <c r="F116" s="555"/>
      <c r="G116" s="551"/>
      <c r="H116" s="551"/>
      <c r="N116" s="551"/>
    </row>
    <row r="117" spans="1:14" s="550" customFormat="1" ht="20.100000000000001" customHeight="1" x14ac:dyDescent="0.2">
      <c r="A117" s="553"/>
      <c r="B117" s="551"/>
      <c r="C117" s="551"/>
      <c r="D117" s="551"/>
      <c r="E117" s="551"/>
      <c r="F117" s="555"/>
      <c r="G117" s="551"/>
      <c r="H117" s="551"/>
      <c r="N117" s="551"/>
    </row>
    <row r="118" spans="1:14" s="550" customFormat="1" ht="20.100000000000001" customHeight="1" x14ac:dyDescent="0.2">
      <c r="A118" s="553"/>
      <c r="B118" s="551"/>
      <c r="C118" s="551"/>
      <c r="D118" s="551"/>
      <c r="E118" s="551"/>
      <c r="F118" s="555"/>
      <c r="G118" s="551"/>
      <c r="H118" s="551"/>
      <c r="N118" s="551"/>
    </row>
    <row r="119" spans="1:14" s="550" customFormat="1" ht="20.100000000000001" customHeight="1" x14ac:dyDescent="0.2">
      <c r="A119" s="553"/>
      <c r="B119" s="551"/>
      <c r="C119" s="551"/>
      <c r="D119" s="551"/>
      <c r="E119" s="551"/>
      <c r="F119" s="555"/>
      <c r="G119" s="551"/>
      <c r="H119" s="551"/>
      <c r="N119" s="551"/>
    </row>
    <row r="120" spans="1:14" s="550" customFormat="1" ht="20.100000000000001" customHeight="1" x14ac:dyDescent="0.2">
      <c r="A120" s="553"/>
      <c r="B120" s="551"/>
      <c r="C120" s="551"/>
      <c r="D120" s="551"/>
      <c r="E120" s="551"/>
      <c r="F120" s="555"/>
      <c r="G120" s="551"/>
      <c r="H120" s="551"/>
      <c r="N120" s="551"/>
    </row>
    <row r="121" spans="1:14" s="550" customFormat="1" ht="20.100000000000001" customHeight="1" x14ac:dyDescent="0.2">
      <c r="A121" s="553"/>
      <c r="B121" s="551"/>
      <c r="C121" s="551"/>
      <c r="D121" s="551"/>
      <c r="E121" s="551"/>
      <c r="F121" s="555"/>
      <c r="G121" s="551"/>
      <c r="H121" s="551"/>
      <c r="N121" s="551"/>
    </row>
    <row r="122" spans="1:14" s="550" customFormat="1" ht="20.100000000000001" customHeight="1" x14ac:dyDescent="0.2">
      <c r="A122" s="553"/>
      <c r="B122" s="551"/>
      <c r="C122" s="551"/>
      <c r="D122" s="551"/>
      <c r="E122" s="551"/>
      <c r="F122" s="555"/>
      <c r="G122" s="551"/>
      <c r="H122" s="551"/>
      <c r="N122" s="551"/>
    </row>
    <row r="123" spans="1:14" s="550" customFormat="1" ht="20.100000000000001" customHeight="1" x14ac:dyDescent="0.2">
      <c r="A123" s="553"/>
      <c r="B123" s="551"/>
      <c r="C123" s="551"/>
      <c r="D123" s="551"/>
      <c r="E123" s="551"/>
      <c r="F123" s="555"/>
      <c r="G123" s="551"/>
      <c r="H123" s="551"/>
      <c r="N123" s="551"/>
    </row>
    <row r="124" spans="1:14" s="550" customFormat="1" ht="20.100000000000001" customHeight="1" x14ac:dyDescent="0.2">
      <c r="A124" s="553"/>
      <c r="B124" s="551"/>
      <c r="C124" s="551"/>
      <c r="D124" s="551"/>
      <c r="E124" s="551"/>
      <c r="F124" s="555"/>
      <c r="G124" s="551"/>
      <c r="H124" s="551"/>
      <c r="N124" s="551"/>
    </row>
    <row r="125" spans="1:14" s="550" customFormat="1" ht="20.100000000000001" customHeight="1" x14ac:dyDescent="0.2">
      <c r="A125" s="553"/>
      <c r="B125" s="551"/>
      <c r="C125" s="551"/>
      <c r="D125" s="551"/>
      <c r="E125" s="551"/>
      <c r="F125" s="555"/>
      <c r="G125" s="551"/>
      <c r="H125" s="551"/>
      <c r="N125" s="551"/>
    </row>
    <row r="126" spans="1:14" s="550" customFormat="1" ht="20.100000000000001" customHeight="1" x14ac:dyDescent="0.2">
      <c r="A126" s="553"/>
      <c r="B126" s="551"/>
      <c r="C126" s="551"/>
      <c r="D126" s="551"/>
      <c r="E126" s="551"/>
      <c r="F126" s="555"/>
      <c r="G126" s="551"/>
      <c r="H126" s="551"/>
      <c r="N126" s="551"/>
    </row>
    <row r="127" spans="1:14" s="550" customFormat="1" ht="20.100000000000001" customHeight="1" x14ac:dyDescent="0.2">
      <c r="A127" s="553"/>
      <c r="B127" s="551"/>
      <c r="C127" s="551"/>
      <c r="D127" s="551"/>
      <c r="E127" s="551"/>
      <c r="F127" s="555"/>
      <c r="G127" s="551"/>
      <c r="H127" s="551"/>
      <c r="N127" s="551"/>
    </row>
    <row r="128" spans="1:14" s="550" customFormat="1" ht="20.100000000000001" customHeight="1" x14ac:dyDescent="0.2">
      <c r="A128" s="553"/>
      <c r="B128" s="551"/>
      <c r="C128" s="551"/>
      <c r="D128" s="551"/>
      <c r="E128" s="551"/>
      <c r="F128" s="555"/>
      <c r="G128" s="551"/>
      <c r="H128" s="551"/>
      <c r="N128" s="551"/>
    </row>
    <row r="129" spans="1:14" s="550" customFormat="1" ht="20.100000000000001" customHeight="1" x14ac:dyDescent="0.2">
      <c r="A129" s="553"/>
      <c r="B129" s="551"/>
      <c r="C129" s="551"/>
      <c r="D129" s="551"/>
      <c r="E129" s="551"/>
      <c r="F129" s="555"/>
      <c r="G129" s="551"/>
      <c r="H129" s="551"/>
      <c r="N129" s="551"/>
    </row>
    <row r="130" spans="1:14" s="550" customFormat="1" ht="20.100000000000001" customHeight="1" x14ac:dyDescent="0.2">
      <c r="A130" s="553"/>
      <c r="B130" s="551"/>
      <c r="C130" s="551"/>
      <c r="D130" s="551"/>
      <c r="E130" s="551"/>
      <c r="F130" s="555"/>
      <c r="G130" s="551"/>
      <c r="H130" s="551"/>
      <c r="N130" s="551"/>
    </row>
    <row r="131" spans="1:14" s="550" customFormat="1" ht="20.100000000000001" customHeight="1" x14ac:dyDescent="0.2">
      <c r="A131" s="553"/>
      <c r="B131" s="551"/>
      <c r="C131" s="551"/>
      <c r="D131" s="551"/>
      <c r="E131" s="551"/>
      <c r="F131" s="555"/>
      <c r="G131" s="551"/>
      <c r="H131" s="551"/>
      <c r="N131" s="551"/>
    </row>
    <row r="132" spans="1:14" s="550" customFormat="1" ht="20.100000000000001" customHeight="1" x14ac:dyDescent="0.2">
      <c r="A132" s="553"/>
      <c r="B132" s="551"/>
      <c r="C132" s="551"/>
      <c r="D132" s="551"/>
      <c r="E132" s="551"/>
      <c r="F132" s="555"/>
      <c r="G132" s="551"/>
      <c r="H132" s="551"/>
      <c r="N132" s="551"/>
    </row>
    <row r="133" spans="1:14" s="550" customFormat="1" ht="20.100000000000001" customHeight="1" x14ac:dyDescent="0.2">
      <c r="A133" s="553"/>
      <c r="B133" s="551"/>
      <c r="C133" s="551"/>
      <c r="D133" s="551"/>
      <c r="E133" s="551"/>
      <c r="F133" s="555"/>
      <c r="G133" s="551"/>
      <c r="H133" s="551"/>
      <c r="N133" s="551"/>
    </row>
    <row r="134" spans="1:14" s="550" customFormat="1" ht="20.100000000000001" customHeight="1" x14ac:dyDescent="0.2">
      <c r="A134" s="553"/>
      <c r="B134" s="551"/>
      <c r="C134" s="551"/>
      <c r="D134" s="551"/>
      <c r="E134" s="551"/>
      <c r="F134" s="555"/>
      <c r="G134" s="551"/>
      <c r="H134" s="551"/>
      <c r="N134" s="551"/>
    </row>
    <row r="135" spans="1:14" s="550" customFormat="1" ht="20.100000000000001" customHeight="1" x14ac:dyDescent="0.2">
      <c r="A135" s="553"/>
      <c r="B135" s="551"/>
      <c r="C135" s="551"/>
      <c r="D135" s="551"/>
      <c r="E135" s="551"/>
      <c r="F135" s="555"/>
      <c r="G135" s="551"/>
      <c r="H135" s="551"/>
      <c r="N135" s="551"/>
    </row>
    <row r="136" spans="1:14" s="550" customFormat="1" ht="20.100000000000001" customHeight="1" x14ac:dyDescent="0.2">
      <c r="A136" s="553"/>
      <c r="B136" s="551"/>
      <c r="C136" s="551"/>
      <c r="D136" s="551"/>
      <c r="E136" s="551"/>
      <c r="F136" s="555"/>
      <c r="G136" s="551"/>
      <c r="H136" s="551"/>
      <c r="N136" s="551"/>
    </row>
    <row r="137" spans="1:14" s="550" customFormat="1" ht="20.100000000000001" customHeight="1" x14ac:dyDescent="0.2">
      <c r="A137" s="553"/>
      <c r="B137" s="551"/>
      <c r="C137" s="551"/>
      <c r="D137" s="551"/>
      <c r="E137" s="551"/>
      <c r="F137" s="555"/>
      <c r="G137" s="551"/>
      <c r="H137" s="551"/>
      <c r="N137" s="551"/>
    </row>
    <row r="138" spans="1:14" s="550" customFormat="1" ht="20.100000000000001" customHeight="1" x14ac:dyDescent="0.2">
      <c r="A138" s="553"/>
      <c r="B138" s="551"/>
      <c r="C138" s="551"/>
      <c r="D138" s="551"/>
      <c r="E138" s="551"/>
      <c r="F138" s="555"/>
      <c r="G138" s="551"/>
      <c r="H138" s="551"/>
      <c r="N138" s="551"/>
    </row>
    <row r="139" spans="1:14" s="550" customFormat="1" ht="20.100000000000001" customHeight="1" x14ac:dyDescent="0.2">
      <c r="A139" s="553"/>
      <c r="B139" s="551"/>
      <c r="C139" s="551"/>
      <c r="D139" s="551"/>
      <c r="E139" s="551"/>
      <c r="F139" s="555"/>
      <c r="G139" s="551"/>
      <c r="H139" s="551"/>
      <c r="N139" s="551"/>
    </row>
    <row r="140" spans="1:14" s="550" customFormat="1" ht="20.100000000000001" customHeight="1" x14ac:dyDescent="0.2">
      <c r="A140" s="553"/>
      <c r="B140" s="551"/>
      <c r="C140" s="551"/>
      <c r="D140" s="551"/>
      <c r="E140" s="551"/>
      <c r="F140" s="555"/>
      <c r="G140" s="551"/>
      <c r="H140" s="551"/>
      <c r="N140" s="551"/>
    </row>
    <row r="141" spans="1:14" s="550" customFormat="1" ht="20.100000000000001" customHeight="1" x14ac:dyDescent="0.2">
      <c r="A141" s="553"/>
      <c r="B141" s="551"/>
      <c r="C141" s="551"/>
      <c r="D141" s="551"/>
      <c r="E141" s="551"/>
      <c r="F141" s="555"/>
      <c r="G141" s="551"/>
      <c r="H141" s="551"/>
      <c r="N141" s="551"/>
    </row>
    <row r="142" spans="1:14" s="550" customFormat="1" ht="20.100000000000001" customHeight="1" x14ac:dyDescent="0.2">
      <c r="A142" s="553"/>
      <c r="B142" s="551"/>
      <c r="C142" s="551"/>
      <c r="D142" s="551"/>
      <c r="E142" s="551"/>
      <c r="F142" s="555"/>
      <c r="G142" s="551"/>
      <c r="H142" s="551"/>
      <c r="N142" s="551"/>
    </row>
    <row r="143" spans="1:14" s="550" customFormat="1" ht="20.100000000000001" customHeight="1" x14ac:dyDescent="0.2">
      <c r="A143" s="553"/>
      <c r="B143" s="551"/>
      <c r="C143" s="551"/>
      <c r="D143" s="551"/>
      <c r="E143" s="551"/>
      <c r="F143" s="555"/>
      <c r="G143" s="551"/>
      <c r="H143" s="551"/>
      <c r="N143" s="551"/>
    </row>
    <row r="144" spans="1:14" s="550" customFormat="1" ht="20.100000000000001" customHeight="1" x14ac:dyDescent="0.2">
      <c r="A144" s="553"/>
      <c r="B144" s="551"/>
      <c r="C144" s="551"/>
      <c r="D144" s="551"/>
      <c r="E144" s="551"/>
      <c r="F144" s="555"/>
      <c r="G144" s="551"/>
      <c r="H144" s="551"/>
      <c r="N144" s="551"/>
    </row>
    <row r="145" spans="1:14" s="550" customFormat="1" ht="20.100000000000001" customHeight="1" x14ac:dyDescent="0.2">
      <c r="A145" s="553"/>
      <c r="B145" s="551"/>
      <c r="C145" s="551"/>
      <c r="D145" s="551"/>
      <c r="E145" s="551"/>
      <c r="F145" s="555"/>
      <c r="G145" s="551"/>
      <c r="H145" s="551"/>
      <c r="N145" s="551"/>
    </row>
    <row r="146" spans="1:14" s="550" customFormat="1" ht="20.100000000000001" customHeight="1" x14ac:dyDescent="0.2">
      <c r="A146" s="553"/>
      <c r="B146" s="551"/>
      <c r="C146" s="551"/>
      <c r="D146" s="551"/>
      <c r="E146" s="551"/>
      <c r="F146" s="555"/>
      <c r="G146" s="551"/>
      <c r="H146" s="551"/>
      <c r="N146" s="551"/>
    </row>
    <row r="147" spans="1:14" s="550" customFormat="1" ht="20.100000000000001" customHeight="1" x14ac:dyDescent="0.2">
      <c r="A147" s="553"/>
      <c r="B147" s="551"/>
      <c r="C147" s="551"/>
      <c r="D147" s="551"/>
      <c r="E147" s="551"/>
      <c r="F147" s="555"/>
      <c r="G147" s="551"/>
      <c r="H147" s="551"/>
      <c r="N147" s="551"/>
    </row>
    <row r="148" spans="1:14" s="550" customFormat="1" ht="20.100000000000001" customHeight="1" x14ac:dyDescent="0.2">
      <c r="A148" s="553"/>
      <c r="B148" s="551"/>
      <c r="C148" s="551"/>
      <c r="D148" s="551"/>
      <c r="E148" s="551"/>
      <c r="F148" s="555"/>
      <c r="G148" s="551"/>
      <c r="H148" s="551"/>
      <c r="N148" s="551"/>
    </row>
    <row r="149" spans="1:14" s="550" customFormat="1" ht="20.100000000000001" customHeight="1" x14ac:dyDescent="0.2">
      <c r="A149" s="553"/>
      <c r="B149" s="551"/>
      <c r="C149" s="551"/>
      <c r="D149" s="551"/>
      <c r="E149" s="551"/>
      <c r="F149" s="555"/>
      <c r="G149" s="551"/>
      <c r="H149" s="551"/>
      <c r="N149" s="551"/>
    </row>
    <row r="150" spans="1:14" s="550" customFormat="1" ht="20.100000000000001" customHeight="1" x14ac:dyDescent="0.2">
      <c r="A150" s="553"/>
      <c r="B150" s="551"/>
      <c r="C150" s="551"/>
      <c r="D150" s="551"/>
      <c r="E150" s="551"/>
      <c r="F150" s="555"/>
      <c r="G150" s="551"/>
      <c r="H150" s="551"/>
      <c r="N150" s="551"/>
    </row>
    <row r="151" spans="1:14" s="550" customFormat="1" ht="20.100000000000001" customHeight="1" x14ac:dyDescent="0.2">
      <c r="A151" s="553"/>
      <c r="B151" s="551"/>
      <c r="C151" s="551"/>
      <c r="D151" s="551"/>
      <c r="E151" s="551"/>
      <c r="F151" s="555"/>
      <c r="G151" s="551"/>
      <c r="H151" s="551"/>
      <c r="N151" s="551"/>
    </row>
    <row r="152" spans="1:14" s="550" customFormat="1" ht="20.100000000000001" customHeight="1" x14ac:dyDescent="0.2">
      <c r="A152" s="553"/>
      <c r="B152" s="551"/>
      <c r="C152" s="551"/>
      <c r="D152" s="551"/>
      <c r="E152" s="551"/>
      <c r="F152" s="555"/>
      <c r="G152" s="551"/>
      <c r="H152" s="551"/>
      <c r="N152" s="551"/>
    </row>
    <row r="153" spans="1:14" s="550" customFormat="1" ht="20.100000000000001" customHeight="1" x14ac:dyDescent="0.2">
      <c r="A153" s="553"/>
      <c r="B153" s="551"/>
      <c r="C153" s="551"/>
      <c r="D153" s="551"/>
      <c r="E153" s="551"/>
      <c r="F153" s="555"/>
      <c r="G153" s="551"/>
      <c r="H153" s="551"/>
      <c r="N153" s="551"/>
    </row>
    <row r="154" spans="1:14" s="550" customFormat="1" ht="20.100000000000001" customHeight="1" x14ac:dyDescent="0.2">
      <c r="A154" s="553"/>
      <c r="B154" s="551"/>
      <c r="C154" s="551"/>
      <c r="D154" s="551"/>
      <c r="E154" s="551"/>
      <c r="F154" s="555"/>
      <c r="G154" s="551"/>
      <c r="H154" s="551"/>
      <c r="N154" s="551"/>
    </row>
    <row r="155" spans="1:14" s="550" customFormat="1" ht="20.100000000000001" customHeight="1" x14ac:dyDescent="0.2">
      <c r="A155" s="553"/>
      <c r="B155" s="551"/>
      <c r="C155" s="551"/>
      <c r="D155" s="551"/>
      <c r="E155" s="551"/>
      <c r="F155" s="555"/>
      <c r="G155" s="551"/>
      <c r="H155" s="551"/>
      <c r="N155" s="551"/>
    </row>
    <row r="156" spans="1:14" s="550" customFormat="1" ht="20.100000000000001" customHeight="1" x14ac:dyDescent="0.2">
      <c r="A156" s="553"/>
      <c r="B156" s="551"/>
      <c r="C156" s="551"/>
      <c r="D156" s="551"/>
      <c r="E156" s="551"/>
      <c r="F156" s="555"/>
      <c r="G156" s="551"/>
      <c r="H156" s="551"/>
      <c r="N156" s="551"/>
    </row>
    <row r="157" spans="1:14" s="550" customFormat="1" ht="20.100000000000001" customHeight="1" x14ac:dyDescent="0.2">
      <c r="A157" s="553"/>
      <c r="B157" s="551"/>
      <c r="C157" s="551"/>
      <c r="D157" s="551"/>
      <c r="E157" s="551"/>
      <c r="F157" s="555"/>
      <c r="G157" s="551"/>
      <c r="H157" s="551"/>
      <c r="N157" s="551"/>
    </row>
    <row r="158" spans="1:14" s="550" customFormat="1" ht="20.100000000000001" customHeight="1" x14ac:dyDescent="0.2">
      <c r="A158" s="553"/>
      <c r="B158" s="551"/>
      <c r="C158" s="551"/>
      <c r="D158" s="551"/>
      <c r="E158" s="551"/>
      <c r="F158" s="555"/>
      <c r="G158" s="551"/>
      <c r="H158" s="551"/>
      <c r="N158" s="551"/>
    </row>
    <row r="159" spans="1:14" s="550" customFormat="1" ht="20.100000000000001" customHeight="1" x14ac:dyDescent="0.2">
      <c r="A159" s="553"/>
      <c r="B159" s="551"/>
      <c r="C159" s="551"/>
      <c r="D159" s="551"/>
      <c r="E159" s="551"/>
      <c r="F159" s="555"/>
      <c r="G159" s="551"/>
      <c r="H159" s="551"/>
      <c r="N159" s="551"/>
    </row>
    <row r="160" spans="1:14" s="550" customFormat="1" ht="20.100000000000001" customHeight="1" x14ac:dyDescent="0.2">
      <c r="A160" s="553"/>
      <c r="B160" s="551"/>
      <c r="C160" s="551"/>
      <c r="D160" s="551"/>
      <c r="E160" s="551"/>
      <c r="F160" s="555"/>
      <c r="G160" s="551"/>
      <c r="H160" s="551"/>
      <c r="N160" s="551"/>
    </row>
    <row r="161" spans="1:14" s="550" customFormat="1" ht="20.100000000000001" customHeight="1" x14ac:dyDescent="0.2">
      <c r="A161" s="553"/>
      <c r="B161" s="551"/>
      <c r="C161" s="551"/>
      <c r="D161" s="551"/>
      <c r="E161" s="551"/>
      <c r="F161" s="555"/>
      <c r="G161" s="551"/>
      <c r="H161" s="551"/>
      <c r="N161" s="551"/>
    </row>
    <row r="162" spans="1:14" s="550" customFormat="1" ht="20.100000000000001" customHeight="1" x14ac:dyDescent="0.2">
      <c r="A162" s="553"/>
      <c r="B162" s="551"/>
      <c r="C162" s="551"/>
      <c r="D162" s="551"/>
      <c r="E162" s="551"/>
      <c r="F162" s="555"/>
      <c r="G162" s="551"/>
      <c r="H162" s="551"/>
      <c r="N162" s="551"/>
    </row>
    <row r="163" spans="1:14" s="550" customFormat="1" ht="20.100000000000001" customHeight="1" x14ac:dyDescent="0.2">
      <c r="A163" s="553"/>
      <c r="B163" s="551"/>
      <c r="C163" s="551"/>
      <c r="D163" s="551"/>
      <c r="E163" s="551"/>
      <c r="F163" s="555"/>
      <c r="G163" s="551"/>
      <c r="H163" s="551"/>
      <c r="N163" s="551"/>
    </row>
    <row r="164" spans="1:14" s="550" customFormat="1" ht="20.100000000000001" customHeight="1" x14ac:dyDescent="0.2">
      <c r="A164" s="553"/>
      <c r="B164" s="551"/>
      <c r="C164" s="551"/>
      <c r="D164" s="551"/>
      <c r="E164" s="551"/>
      <c r="F164" s="555"/>
      <c r="G164" s="551"/>
      <c r="H164" s="551"/>
      <c r="N164" s="551"/>
    </row>
    <row r="165" spans="1:14" s="550" customFormat="1" ht="20.100000000000001" customHeight="1" x14ac:dyDescent="0.2">
      <c r="A165" s="553"/>
      <c r="B165" s="551"/>
      <c r="C165" s="551"/>
      <c r="D165" s="551"/>
      <c r="E165" s="551"/>
      <c r="F165" s="555"/>
      <c r="G165" s="551"/>
      <c r="H165" s="551"/>
      <c r="N165" s="551"/>
    </row>
    <row r="166" spans="1:14" s="550" customFormat="1" ht="20.100000000000001" customHeight="1" x14ac:dyDescent="0.2">
      <c r="A166" s="553"/>
      <c r="B166" s="551"/>
      <c r="C166" s="551"/>
      <c r="D166" s="551"/>
      <c r="E166" s="551"/>
      <c r="F166" s="555"/>
      <c r="G166" s="551"/>
      <c r="H166" s="551"/>
      <c r="N166" s="551"/>
    </row>
    <row r="167" spans="1:14" s="550" customFormat="1" ht="20.100000000000001" customHeight="1" x14ac:dyDescent="0.2">
      <c r="A167" s="553"/>
      <c r="B167" s="551"/>
      <c r="C167" s="551"/>
      <c r="D167" s="551"/>
      <c r="E167" s="551"/>
      <c r="F167" s="555"/>
      <c r="G167" s="551"/>
      <c r="H167" s="551"/>
      <c r="N167" s="551"/>
    </row>
    <row r="168" spans="1:14" s="550" customFormat="1" ht="20.100000000000001" customHeight="1" x14ac:dyDescent="0.2">
      <c r="A168" s="553"/>
      <c r="B168" s="551"/>
      <c r="C168" s="551"/>
      <c r="D168" s="551"/>
      <c r="E168" s="551"/>
      <c r="F168" s="555"/>
      <c r="G168" s="551"/>
      <c r="H168" s="551"/>
      <c r="N168" s="551"/>
    </row>
    <row r="169" spans="1:14" s="550" customFormat="1" ht="20.100000000000001" customHeight="1" x14ac:dyDescent="0.2">
      <c r="A169" s="553"/>
      <c r="B169" s="551"/>
      <c r="C169" s="551"/>
      <c r="D169" s="551"/>
      <c r="E169" s="551"/>
      <c r="F169" s="555"/>
      <c r="G169" s="551"/>
      <c r="H169" s="551"/>
      <c r="N169" s="551"/>
    </row>
    <row r="170" spans="1:14" s="550" customFormat="1" ht="20.100000000000001" customHeight="1" x14ac:dyDescent="0.2">
      <c r="A170" s="553"/>
      <c r="B170" s="551"/>
      <c r="C170" s="551"/>
      <c r="D170" s="551"/>
      <c r="E170" s="551"/>
      <c r="F170" s="555"/>
      <c r="G170" s="551"/>
      <c r="H170" s="551"/>
      <c r="N170" s="551"/>
    </row>
    <row r="171" spans="1:14" s="550" customFormat="1" ht="20.100000000000001" customHeight="1" x14ac:dyDescent="0.2">
      <c r="A171" s="553"/>
      <c r="B171" s="551"/>
      <c r="C171" s="551"/>
      <c r="D171" s="551"/>
      <c r="E171" s="551"/>
      <c r="F171" s="555"/>
      <c r="G171" s="551"/>
      <c r="H171" s="551"/>
      <c r="N171" s="551"/>
    </row>
    <row r="172" spans="1:14" s="550" customFormat="1" ht="20.100000000000001" customHeight="1" x14ac:dyDescent="0.2">
      <c r="A172" s="553"/>
      <c r="B172" s="551"/>
      <c r="C172" s="551"/>
      <c r="D172" s="551"/>
      <c r="E172" s="551"/>
      <c r="F172" s="555"/>
      <c r="G172" s="551"/>
      <c r="H172" s="551"/>
      <c r="N172" s="551"/>
    </row>
    <row r="173" spans="1:14" s="550" customFormat="1" ht="20.100000000000001" customHeight="1" x14ac:dyDescent="0.2">
      <c r="A173" s="553"/>
      <c r="B173" s="551"/>
      <c r="C173" s="551"/>
      <c r="D173" s="551"/>
      <c r="E173" s="551"/>
      <c r="F173" s="555"/>
      <c r="G173" s="551"/>
      <c r="H173" s="551"/>
      <c r="N173" s="551"/>
    </row>
    <row r="174" spans="1:14" s="550" customFormat="1" ht="20.100000000000001" customHeight="1" x14ac:dyDescent="0.2">
      <c r="A174" s="553"/>
      <c r="B174" s="551"/>
      <c r="C174" s="551"/>
      <c r="D174" s="551"/>
      <c r="E174" s="551"/>
      <c r="F174" s="555"/>
      <c r="G174" s="551"/>
      <c r="H174" s="551"/>
      <c r="N174" s="551"/>
    </row>
    <row r="175" spans="1:14" s="550" customFormat="1" ht="20.100000000000001" customHeight="1" x14ac:dyDescent="0.2">
      <c r="A175" s="553"/>
      <c r="B175" s="551"/>
      <c r="C175" s="551"/>
      <c r="D175" s="551"/>
      <c r="E175" s="551"/>
      <c r="F175" s="555"/>
      <c r="G175" s="551"/>
      <c r="H175" s="551"/>
      <c r="N175" s="551"/>
    </row>
    <row r="176" spans="1:14" s="550" customFormat="1" ht="20.100000000000001" customHeight="1" x14ac:dyDescent="0.2">
      <c r="A176" s="553"/>
      <c r="B176" s="551"/>
      <c r="C176" s="551"/>
      <c r="D176" s="551"/>
      <c r="E176" s="551"/>
      <c r="F176" s="555"/>
      <c r="G176" s="551"/>
      <c r="H176" s="551"/>
      <c r="N176" s="551"/>
    </row>
    <row r="177" spans="1:14" s="550" customFormat="1" ht="20.100000000000001" customHeight="1" x14ac:dyDescent="0.2">
      <c r="A177" s="553"/>
      <c r="B177" s="551"/>
      <c r="C177" s="551"/>
      <c r="D177" s="551"/>
      <c r="E177" s="551"/>
      <c r="F177" s="555"/>
      <c r="G177" s="551"/>
      <c r="H177" s="551"/>
      <c r="N177" s="551"/>
    </row>
    <row r="178" spans="1:14" s="550" customFormat="1" ht="20.100000000000001" customHeight="1" x14ac:dyDescent="0.2">
      <c r="A178" s="553"/>
      <c r="B178" s="551"/>
      <c r="C178" s="551"/>
      <c r="D178" s="551"/>
      <c r="E178" s="551"/>
      <c r="F178" s="555"/>
      <c r="G178" s="551"/>
      <c r="H178" s="551"/>
      <c r="N178" s="551"/>
    </row>
    <row r="179" spans="1:14" s="550" customFormat="1" ht="20.100000000000001" customHeight="1" x14ac:dyDescent="0.2">
      <c r="A179" s="553"/>
      <c r="B179" s="551"/>
      <c r="C179" s="551"/>
      <c r="D179" s="551"/>
      <c r="E179" s="551"/>
      <c r="F179" s="555"/>
      <c r="G179" s="551"/>
      <c r="H179" s="551"/>
      <c r="N179" s="551"/>
    </row>
    <row r="180" spans="1:14" s="550" customFormat="1" ht="20.100000000000001" customHeight="1" x14ac:dyDescent="0.2">
      <c r="A180" s="553"/>
      <c r="B180" s="551"/>
      <c r="C180" s="551"/>
      <c r="D180" s="551"/>
      <c r="E180" s="551"/>
      <c r="F180" s="555"/>
      <c r="G180" s="551"/>
      <c r="H180" s="551"/>
      <c r="N180" s="551"/>
    </row>
    <row r="181" spans="1:14" s="550" customFormat="1" ht="20.100000000000001" customHeight="1" x14ac:dyDescent="0.2">
      <c r="A181" s="553"/>
      <c r="B181" s="551"/>
      <c r="C181" s="551"/>
      <c r="D181" s="551"/>
      <c r="E181" s="551"/>
      <c r="F181" s="555"/>
      <c r="G181" s="551"/>
      <c r="H181" s="551"/>
      <c r="N181" s="551"/>
    </row>
    <row r="182" spans="1:14" s="550" customFormat="1" ht="20.100000000000001" customHeight="1" x14ac:dyDescent="0.2">
      <c r="A182" s="553"/>
      <c r="B182" s="551"/>
      <c r="C182" s="551"/>
      <c r="D182" s="551"/>
      <c r="E182" s="551"/>
      <c r="F182" s="555"/>
      <c r="G182" s="551"/>
      <c r="H182" s="551"/>
      <c r="N182" s="551"/>
    </row>
    <row r="183" spans="1:14" s="550" customFormat="1" ht="20.100000000000001" customHeight="1" x14ac:dyDescent="0.2">
      <c r="A183" s="553"/>
      <c r="B183" s="551"/>
      <c r="C183" s="551"/>
      <c r="D183" s="551"/>
      <c r="E183" s="551"/>
      <c r="F183" s="555"/>
      <c r="G183" s="551"/>
      <c r="H183" s="551"/>
      <c r="N183" s="551"/>
    </row>
    <row r="184" spans="1:14" s="550" customFormat="1" ht="20.100000000000001" customHeight="1" x14ac:dyDescent="0.2">
      <c r="A184" s="553"/>
      <c r="B184" s="551"/>
      <c r="C184" s="551"/>
      <c r="D184" s="551"/>
      <c r="E184" s="551"/>
      <c r="F184" s="555"/>
      <c r="G184" s="551"/>
      <c r="H184" s="551"/>
      <c r="N184" s="551"/>
    </row>
    <row r="185" spans="1:14" s="550" customFormat="1" ht="20.100000000000001" customHeight="1" x14ac:dyDescent="0.2">
      <c r="A185" s="553"/>
      <c r="B185" s="551"/>
      <c r="C185" s="551"/>
      <c r="D185" s="551"/>
      <c r="E185" s="551"/>
      <c r="F185" s="555"/>
      <c r="G185" s="551"/>
      <c r="H185" s="551"/>
      <c r="N185" s="551"/>
    </row>
    <row r="186" spans="1:14" s="550" customFormat="1" ht="20.100000000000001" customHeight="1" x14ac:dyDescent="0.2">
      <c r="A186" s="553"/>
      <c r="B186" s="551"/>
      <c r="C186" s="551"/>
      <c r="D186" s="551"/>
      <c r="E186" s="551"/>
      <c r="F186" s="555"/>
      <c r="G186" s="551"/>
      <c r="H186" s="551"/>
      <c r="N186" s="551"/>
    </row>
    <row r="187" spans="1:14" s="550" customFormat="1" ht="20.100000000000001" customHeight="1" x14ac:dyDescent="0.2">
      <c r="A187" s="553"/>
      <c r="B187" s="551"/>
      <c r="C187" s="551"/>
      <c r="D187" s="551"/>
      <c r="E187" s="551"/>
      <c r="F187" s="555"/>
      <c r="G187" s="551"/>
      <c r="H187" s="551"/>
      <c r="N187" s="551"/>
    </row>
    <row r="188" spans="1:14" s="550" customFormat="1" ht="20.100000000000001" customHeight="1" x14ac:dyDescent="0.2">
      <c r="A188" s="553"/>
      <c r="B188" s="551"/>
      <c r="C188" s="551"/>
      <c r="D188" s="551"/>
      <c r="E188" s="551"/>
      <c r="F188" s="555"/>
      <c r="G188" s="551"/>
      <c r="H188" s="551"/>
      <c r="N188" s="551"/>
    </row>
    <row r="189" spans="1:14" s="550" customFormat="1" ht="20.100000000000001" customHeight="1" x14ac:dyDescent="0.2">
      <c r="A189" s="553"/>
      <c r="B189" s="551"/>
      <c r="C189" s="551"/>
      <c r="D189" s="551"/>
      <c r="E189" s="551"/>
      <c r="F189" s="555"/>
      <c r="G189" s="551"/>
      <c r="H189" s="551"/>
      <c r="N189" s="551"/>
    </row>
    <row r="190" spans="1:14" s="550" customFormat="1" ht="20.100000000000001" customHeight="1" x14ac:dyDescent="0.2">
      <c r="A190" s="553"/>
      <c r="B190" s="551"/>
      <c r="C190" s="551"/>
      <c r="D190" s="551"/>
      <c r="E190" s="551"/>
      <c r="F190" s="555"/>
      <c r="G190" s="551"/>
      <c r="H190" s="551"/>
      <c r="N190" s="551"/>
    </row>
    <row r="191" spans="1:14" s="550" customFormat="1" ht="20.100000000000001" customHeight="1" x14ac:dyDescent="0.2">
      <c r="A191" s="553"/>
      <c r="B191" s="551"/>
      <c r="C191" s="551"/>
      <c r="D191" s="551"/>
      <c r="E191" s="551"/>
      <c r="F191" s="555"/>
      <c r="G191" s="551"/>
      <c r="H191" s="551"/>
      <c r="N191" s="551"/>
    </row>
    <row r="192" spans="1:14" s="550" customFormat="1" ht="20.100000000000001" customHeight="1" x14ac:dyDescent="0.2">
      <c r="A192" s="553"/>
      <c r="B192" s="551"/>
      <c r="C192" s="551"/>
      <c r="D192" s="551"/>
      <c r="E192" s="551"/>
      <c r="F192" s="555"/>
      <c r="G192" s="551"/>
      <c r="H192" s="551"/>
      <c r="N192" s="551"/>
    </row>
    <row r="193" spans="1:14" s="550" customFormat="1" ht="20.100000000000001" customHeight="1" x14ac:dyDescent="0.2">
      <c r="A193" s="553"/>
      <c r="B193" s="551"/>
      <c r="C193" s="551"/>
      <c r="D193" s="551"/>
      <c r="E193" s="551"/>
      <c r="F193" s="555"/>
      <c r="G193" s="551"/>
      <c r="H193" s="551"/>
      <c r="N193" s="551"/>
    </row>
    <row r="194" spans="1:14" s="550" customFormat="1" ht="20.100000000000001" customHeight="1" x14ac:dyDescent="0.2">
      <c r="A194" s="553"/>
      <c r="B194" s="551"/>
      <c r="C194" s="551"/>
      <c r="D194" s="551"/>
      <c r="E194" s="551"/>
      <c r="F194" s="555"/>
      <c r="G194" s="551"/>
      <c r="H194" s="551"/>
      <c r="N194" s="551"/>
    </row>
    <row r="195" spans="1:14" s="550" customFormat="1" ht="20.100000000000001" customHeight="1" x14ac:dyDescent="0.2">
      <c r="A195" s="553"/>
      <c r="B195" s="551"/>
      <c r="C195" s="551"/>
      <c r="D195" s="551"/>
      <c r="E195" s="551"/>
      <c r="F195" s="555"/>
      <c r="G195" s="551"/>
      <c r="H195" s="551"/>
      <c r="N195" s="551"/>
    </row>
    <row r="196" spans="1:14" s="550" customFormat="1" ht="20.100000000000001" customHeight="1" x14ac:dyDescent="0.2">
      <c r="A196" s="553"/>
      <c r="B196" s="551"/>
      <c r="C196" s="551"/>
      <c r="D196" s="551"/>
      <c r="E196" s="551"/>
      <c r="F196" s="555"/>
      <c r="G196" s="551"/>
      <c r="H196" s="551"/>
      <c r="N196" s="551"/>
    </row>
    <row r="197" spans="1:14" s="550" customFormat="1" ht="20.100000000000001" customHeight="1" x14ac:dyDescent="0.2">
      <c r="A197" s="553"/>
      <c r="B197" s="551"/>
      <c r="C197" s="551"/>
      <c r="D197" s="551"/>
      <c r="E197" s="551"/>
      <c r="F197" s="555"/>
      <c r="G197" s="551"/>
      <c r="H197" s="551"/>
      <c r="N197" s="551"/>
    </row>
    <row r="198" spans="1:14" s="550" customFormat="1" ht="20.100000000000001" customHeight="1" x14ac:dyDescent="0.2">
      <c r="A198" s="553"/>
      <c r="B198" s="551"/>
      <c r="C198" s="551"/>
      <c r="D198" s="551"/>
      <c r="E198" s="551"/>
      <c r="F198" s="555"/>
      <c r="G198" s="551"/>
      <c r="H198" s="551"/>
      <c r="N198" s="551"/>
    </row>
    <row r="199" spans="1:14" s="550" customFormat="1" ht="20.100000000000001" customHeight="1" x14ac:dyDescent="0.2">
      <c r="A199" s="553"/>
      <c r="B199" s="551"/>
      <c r="C199" s="551"/>
      <c r="D199" s="551"/>
      <c r="E199" s="551"/>
      <c r="F199" s="555"/>
      <c r="G199" s="551"/>
      <c r="H199" s="551"/>
      <c r="N199" s="551"/>
    </row>
    <row r="200" spans="1:14" s="550" customFormat="1" ht="20.100000000000001" customHeight="1" x14ac:dyDescent="0.2">
      <c r="A200" s="553"/>
      <c r="B200" s="551"/>
      <c r="C200" s="551"/>
      <c r="D200" s="551"/>
      <c r="E200" s="551"/>
      <c r="F200" s="555"/>
      <c r="G200" s="551"/>
      <c r="H200" s="551"/>
      <c r="N200" s="551"/>
    </row>
    <row r="201" spans="1:14" s="550" customFormat="1" ht="20.100000000000001" customHeight="1" x14ac:dyDescent="0.2">
      <c r="A201" s="553"/>
      <c r="B201" s="551"/>
      <c r="C201" s="551"/>
      <c r="D201" s="551"/>
      <c r="E201" s="551"/>
      <c r="F201" s="555"/>
      <c r="G201" s="551"/>
      <c r="H201" s="551"/>
      <c r="N201" s="551"/>
    </row>
    <row r="202" spans="1:14" s="550" customFormat="1" ht="20.100000000000001" customHeight="1" x14ac:dyDescent="0.2">
      <c r="A202" s="553"/>
      <c r="B202" s="551"/>
      <c r="C202" s="551"/>
      <c r="D202" s="551"/>
      <c r="E202" s="551"/>
      <c r="F202" s="555"/>
      <c r="G202" s="551"/>
      <c r="H202" s="551"/>
      <c r="N202" s="551"/>
    </row>
    <row r="203" spans="1:14" s="550" customFormat="1" ht="20.100000000000001" customHeight="1" x14ac:dyDescent="0.2">
      <c r="A203" s="553"/>
      <c r="B203" s="551"/>
      <c r="C203" s="551"/>
      <c r="D203" s="551"/>
      <c r="E203" s="551"/>
      <c r="F203" s="555"/>
      <c r="G203" s="551"/>
      <c r="H203" s="551"/>
      <c r="N203" s="551"/>
    </row>
    <row r="204" spans="1:14" s="550" customFormat="1" ht="20.100000000000001" customHeight="1" x14ac:dyDescent="0.2">
      <c r="A204" s="553"/>
      <c r="B204" s="551"/>
      <c r="C204" s="551"/>
      <c r="D204" s="551"/>
      <c r="E204" s="551"/>
      <c r="F204" s="555"/>
      <c r="G204" s="551"/>
      <c r="H204" s="551"/>
      <c r="N204" s="551"/>
    </row>
    <row r="205" spans="1:14" s="550" customFormat="1" ht="20.100000000000001" customHeight="1" x14ac:dyDescent="0.2">
      <c r="A205" s="553"/>
      <c r="B205" s="551"/>
      <c r="C205" s="551"/>
      <c r="D205" s="551"/>
      <c r="E205" s="551"/>
      <c r="F205" s="555"/>
      <c r="G205" s="551"/>
      <c r="H205" s="551"/>
      <c r="N205" s="551"/>
    </row>
    <row r="206" spans="1:14" s="550" customFormat="1" ht="20.100000000000001" customHeight="1" x14ac:dyDescent="0.2">
      <c r="A206" s="553"/>
      <c r="B206" s="551"/>
      <c r="C206" s="551"/>
      <c r="D206" s="551"/>
      <c r="E206" s="551"/>
      <c r="F206" s="555"/>
      <c r="G206" s="551"/>
      <c r="H206" s="551"/>
      <c r="N206" s="551"/>
    </row>
    <row r="207" spans="1:14" s="550" customFormat="1" ht="20.100000000000001" customHeight="1" x14ac:dyDescent="0.2">
      <c r="A207" s="553"/>
      <c r="B207" s="551"/>
      <c r="C207" s="551"/>
      <c r="D207" s="551"/>
      <c r="E207" s="551"/>
      <c r="F207" s="555"/>
      <c r="G207" s="551"/>
      <c r="H207" s="551"/>
      <c r="N207" s="551"/>
    </row>
    <row r="208" spans="1:14" s="550" customFormat="1" ht="20.100000000000001" customHeight="1" x14ac:dyDescent="0.2">
      <c r="A208" s="553"/>
      <c r="B208" s="551"/>
      <c r="C208" s="551"/>
      <c r="D208" s="551"/>
      <c r="E208" s="551"/>
      <c r="F208" s="555"/>
      <c r="G208" s="551"/>
      <c r="H208" s="551"/>
      <c r="N208" s="551"/>
    </row>
    <row r="209" spans="1:14" s="550" customFormat="1" ht="20.100000000000001" customHeight="1" x14ac:dyDescent="0.2">
      <c r="A209" s="553"/>
      <c r="B209" s="551"/>
      <c r="C209" s="551"/>
      <c r="D209" s="551"/>
      <c r="E209" s="551"/>
      <c r="F209" s="555"/>
      <c r="G209" s="551"/>
      <c r="H209" s="551"/>
      <c r="N209" s="551"/>
    </row>
    <row r="210" spans="1:14" s="550" customFormat="1" ht="20.100000000000001" customHeight="1" x14ac:dyDescent="0.2">
      <c r="A210" s="553"/>
      <c r="B210" s="551"/>
      <c r="C210" s="551"/>
      <c r="D210" s="551"/>
      <c r="E210" s="551"/>
      <c r="F210" s="555"/>
      <c r="G210" s="551"/>
      <c r="H210" s="551"/>
      <c r="N210" s="551"/>
    </row>
    <row r="211" spans="1:14" s="550" customFormat="1" ht="20.100000000000001" customHeight="1" x14ac:dyDescent="0.2">
      <c r="A211" s="553"/>
      <c r="B211" s="551"/>
      <c r="C211" s="551"/>
      <c r="D211" s="551"/>
      <c r="E211" s="551"/>
      <c r="F211" s="555"/>
      <c r="G211" s="551"/>
      <c r="H211" s="551"/>
      <c r="N211" s="551"/>
    </row>
    <row r="212" spans="1:14" s="550" customFormat="1" ht="20.100000000000001" customHeight="1" x14ac:dyDescent="0.2">
      <c r="A212" s="553"/>
      <c r="B212" s="551"/>
      <c r="C212" s="551"/>
      <c r="D212" s="551"/>
      <c r="E212" s="551"/>
      <c r="F212" s="555"/>
      <c r="G212" s="551"/>
      <c r="H212" s="551"/>
      <c r="N212" s="551"/>
    </row>
    <row r="213" spans="1:14" s="550" customFormat="1" ht="20.100000000000001" customHeight="1" x14ac:dyDescent="0.2">
      <c r="A213" s="553"/>
      <c r="B213" s="551"/>
      <c r="C213" s="551"/>
      <c r="D213" s="551"/>
      <c r="E213" s="551"/>
      <c r="F213" s="555"/>
      <c r="G213" s="551"/>
      <c r="H213" s="551"/>
      <c r="N213" s="551"/>
    </row>
    <row r="214" spans="1:14" s="550" customFormat="1" ht="20.100000000000001" customHeight="1" x14ac:dyDescent="0.2">
      <c r="A214" s="553"/>
      <c r="B214" s="551"/>
      <c r="C214" s="551"/>
      <c r="D214" s="551"/>
      <c r="E214" s="551"/>
      <c r="F214" s="555"/>
      <c r="G214" s="551"/>
      <c r="H214" s="551"/>
      <c r="N214" s="551"/>
    </row>
    <row r="215" spans="1:14" s="550" customFormat="1" ht="20.100000000000001" customHeight="1" x14ac:dyDescent="0.2">
      <c r="A215" s="553"/>
      <c r="B215" s="551"/>
      <c r="C215" s="551"/>
      <c r="D215" s="551"/>
      <c r="E215" s="551"/>
      <c r="F215" s="555"/>
      <c r="G215" s="551"/>
      <c r="H215" s="551"/>
      <c r="N215" s="551"/>
    </row>
    <row r="216" spans="1:14" s="550" customFormat="1" ht="20.100000000000001" customHeight="1" x14ac:dyDescent="0.2">
      <c r="A216" s="553"/>
      <c r="B216" s="551"/>
      <c r="C216" s="551"/>
      <c r="D216" s="551"/>
      <c r="E216" s="551"/>
      <c r="F216" s="555"/>
      <c r="G216" s="551"/>
      <c r="H216" s="551"/>
      <c r="N216" s="551"/>
    </row>
    <row r="217" spans="1:14" s="550" customFormat="1" ht="20.100000000000001" customHeight="1" x14ac:dyDescent="0.2">
      <c r="A217" s="553"/>
      <c r="B217" s="551"/>
      <c r="C217" s="551"/>
      <c r="D217" s="551"/>
      <c r="E217" s="551"/>
      <c r="F217" s="555"/>
      <c r="G217" s="551"/>
      <c r="H217" s="551"/>
      <c r="N217" s="551"/>
    </row>
    <row r="218" spans="1:14" s="550" customFormat="1" ht="20.100000000000001" customHeight="1" x14ac:dyDescent="0.2">
      <c r="A218" s="553"/>
      <c r="B218" s="551"/>
      <c r="C218" s="551"/>
      <c r="D218" s="551"/>
      <c r="E218" s="551"/>
      <c r="F218" s="555"/>
      <c r="G218" s="551"/>
      <c r="H218" s="551"/>
      <c r="N218" s="551"/>
    </row>
    <row r="219" spans="1:14" ht="20.100000000000001" customHeight="1" x14ac:dyDescent="0.2">
      <c r="A219" s="553"/>
      <c r="B219" s="551"/>
      <c r="C219" s="551"/>
      <c r="D219" s="551"/>
      <c r="E219" s="551"/>
      <c r="F219" s="555"/>
      <c r="G219" s="551"/>
      <c r="H219" s="551"/>
      <c r="N219" s="551"/>
    </row>
    <row r="220" spans="1:14" ht="20.100000000000001" customHeight="1" x14ac:dyDescent="0.2">
      <c r="A220" s="553"/>
      <c r="B220" s="551"/>
      <c r="C220" s="551"/>
      <c r="D220" s="551"/>
      <c r="E220" s="551"/>
      <c r="F220" s="555"/>
      <c r="G220" s="551"/>
      <c r="H220" s="551"/>
      <c r="N220" s="551"/>
    </row>
    <row r="221" spans="1:14" ht="20.100000000000001" customHeight="1" x14ac:dyDescent="0.2">
      <c r="A221" s="553"/>
      <c r="B221" s="551"/>
      <c r="C221" s="551"/>
      <c r="D221" s="551"/>
      <c r="E221" s="551"/>
      <c r="F221" s="555"/>
      <c r="G221" s="551"/>
      <c r="H221" s="551"/>
      <c r="N221" s="551"/>
    </row>
    <row r="222" spans="1:14" ht="20.100000000000001" customHeight="1" x14ac:dyDescent="0.2">
      <c r="A222" s="553"/>
      <c r="B222" s="551"/>
      <c r="C222" s="551"/>
      <c r="D222" s="551"/>
      <c r="E222" s="551"/>
      <c r="F222" s="555"/>
      <c r="G222" s="551"/>
      <c r="H222" s="551"/>
      <c r="N222" s="551"/>
    </row>
    <row r="223" spans="1:14" ht="20.100000000000001" customHeight="1" x14ac:dyDescent="0.2">
      <c r="A223" s="553"/>
      <c r="B223" s="551"/>
      <c r="C223" s="551"/>
      <c r="D223" s="551"/>
      <c r="E223" s="551"/>
      <c r="F223" s="555"/>
      <c r="G223" s="551"/>
      <c r="H223" s="551"/>
      <c r="N223" s="551"/>
    </row>
    <row r="224" spans="1:14" ht="20.100000000000001" customHeight="1" x14ac:dyDescent="0.2">
      <c r="A224" s="553"/>
      <c r="B224" s="551"/>
      <c r="C224" s="551"/>
      <c r="D224" s="551"/>
      <c r="E224" s="551"/>
      <c r="F224" s="555"/>
      <c r="G224" s="551"/>
      <c r="H224" s="551"/>
      <c r="N224" s="551"/>
    </row>
    <row r="225" spans="1:14" ht="20.100000000000001" customHeight="1" x14ac:dyDescent="0.2">
      <c r="A225" s="553"/>
      <c r="B225" s="551"/>
      <c r="C225" s="551"/>
      <c r="D225" s="551"/>
      <c r="E225" s="551"/>
      <c r="F225" s="555"/>
      <c r="G225" s="551"/>
      <c r="H225" s="551"/>
      <c r="N225" s="551"/>
    </row>
    <row r="226" spans="1:14" ht="20.100000000000001" customHeight="1" x14ac:dyDescent="0.2">
      <c r="A226" s="553"/>
      <c r="B226" s="551"/>
      <c r="C226" s="551"/>
      <c r="D226" s="551"/>
      <c r="E226" s="551"/>
      <c r="F226" s="555"/>
      <c r="G226" s="551"/>
      <c r="H226" s="551"/>
      <c r="N226" s="551"/>
    </row>
    <row r="227" spans="1:14" ht="20.100000000000001" customHeight="1" x14ac:dyDescent="0.2">
      <c r="A227" s="553"/>
      <c r="B227" s="551"/>
      <c r="C227" s="551"/>
      <c r="D227" s="551"/>
      <c r="E227" s="551"/>
      <c r="F227" s="555"/>
      <c r="G227" s="551"/>
      <c r="H227" s="551"/>
      <c r="N227" s="551"/>
    </row>
    <row r="228" spans="1:14" ht="20.100000000000001" customHeight="1" x14ac:dyDescent="0.2">
      <c r="A228" s="553"/>
      <c r="B228" s="551"/>
      <c r="C228" s="551"/>
      <c r="D228" s="551"/>
      <c r="E228" s="551"/>
      <c r="F228" s="555"/>
      <c r="G228" s="551"/>
      <c r="H228" s="551"/>
      <c r="N228" s="551"/>
    </row>
    <row r="229" spans="1:14" ht="20.100000000000001" customHeight="1" x14ac:dyDescent="0.2">
      <c r="A229" s="553"/>
      <c r="B229" s="551"/>
      <c r="C229" s="551"/>
      <c r="D229" s="551"/>
      <c r="E229" s="551"/>
      <c r="F229" s="555"/>
      <c r="G229" s="551"/>
      <c r="H229" s="551"/>
      <c r="N229" s="551"/>
    </row>
    <row r="230" spans="1:14" ht="20.100000000000001" customHeight="1" x14ac:dyDescent="0.2">
      <c r="A230" s="552"/>
      <c r="B230" s="552"/>
      <c r="C230" s="552"/>
      <c r="D230" s="552"/>
      <c r="E230" s="552"/>
      <c r="F230" s="556"/>
      <c r="G230" s="552"/>
      <c r="H230" s="552"/>
      <c r="N230" s="552"/>
    </row>
    <row r="231" spans="1:14" ht="20.100000000000001" customHeight="1" x14ac:dyDescent="0.2">
      <c r="A231" s="557"/>
      <c r="B231" s="557"/>
      <c r="C231" s="557"/>
      <c r="D231" s="557"/>
      <c r="E231" s="557"/>
      <c r="F231" s="557"/>
      <c r="G231" s="557"/>
      <c r="H231" s="557"/>
      <c r="N231" s="557"/>
    </row>
  </sheetData>
  <mergeCells count="10">
    <mergeCell ref="B12:B13"/>
    <mergeCell ref="J17:K17"/>
    <mergeCell ref="H15:I15"/>
    <mergeCell ref="J15:K15"/>
    <mergeCell ref="G3:G4"/>
    <mergeCell ref="G6:G7"/>
    <mergeCell ref="G9:G10"/>
    <mergeCell ref="D6:D7"/>
    <mergeCell ref="D9:D10"/>
    <mergeCell ref="E9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Model</vt:lpstr>
      <vt:lpstr>Control</vt:lpstr>
      <vt:lpstr>Sales</vt:lpstr>
      <vt:lpstr>COG</vt:lpstr>
      <vt:lpstr>R&amp;D</vt:lpstr>
      <vt:lpstr>S&amp;M</vt:lpstr>
      <vt:lpstr>Project</vt:lpstr>
      <vt:lpstr>Lee &amp; Lor</vt:lpstr>
      <vt:lpstr>Lor Financials</vt:lpstr>
      <vt:lpstr>Benchmarks</vt:lpstr>
      <vt:lpstr>COG!Print_Area</vt:lpstr>
      <vt:lpstr>Control!Print_Area</vt:lpstr>
      <vt:lpstr>'Lee &amp; Lor'!Print_Area</vt:lpstr>
      <vt:lpstr>'Lor Financials'!Print_Area</vt:lpstr>
      <vt:lpstr>Model!Print_Area</vt:lpstr>
      <vt:lpstr>Project!Print_Area</vt:lpstr>
      <vt:lpstr>'R&amp;D'!Print_Area</vt:lpstr>
      <vt:lpstr>'S&amp;M'!Print_Area</vt:lpstr>
      <vt:lpstr>Sales!Print_Area</vt:lpstr>
    </vt:vector>
  </TitlesOfParts>
  <Company>Redpharma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MAbMaster</dc:title>
  <dc:creator>Roger Davies</dc:creator>
  <cp:lastModifiedBy>Roger</cp:lastModifiedBy>
  <cp:lastPrinted>2014-03-15T17:47:08Z</cp:lastPrinted>
  <dcterms:created xsi:type="dcterms:W3CDTF">2002-10-22T08:49:42Z</dcterms:created>
  <dcterms:modified xsi:type="dcterms:W3CDTF">2016-11-10T11:03:14Z</dcterms:modified>
</cp:coreProperties>
</file>