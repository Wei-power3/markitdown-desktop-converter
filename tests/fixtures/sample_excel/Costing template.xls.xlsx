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29"/>
  <workbookPr defaultThemeVersion="166925"/>
  <mc:AlternateContent xmlns:mc="http://schemas.openxmlformats.org/markup-compatibility/2006">
    <mc:Choice Requires="x15">
      <x15ac:absPath xmlns:x15ac="http://schemas.microsoft.com/office/spreadsheetml/2010/11/ac" url="M:\Editing folder\Market Access\UK\Business case\"/>
    </mc:Choice>
  </mc:AlternateContent>
  <bookViews>
    <workbookView xWindow="0" yWindow="0" windowWidth="28800" windowHeight="13290" activeTab="1"/>
  </bookViews>
  <sheets>
    <sheet name="1.Cover page" sheetId="1" r:id="rId1"/>
    <sheet name="Unit costs" sheetId="4" r:id="rId2"/>
    <sheet name="Input sheet" sheetId="8" r:id="rId3"/>
    <sheet name="Costing template" sheetId="5" r:id="rId4"/>
    <sheet name="Costing report" sheetId="16" r:id="rId5"/>
    <sheet name="Average cost reported all" sheetId="17" r:id="rId6"/>
    <sheet name="PHLF cost breakdown" sheetId="14" r:id="rId7"/>
    <sheet name="Cost pool breakdown" sheetId="18" r:id="rId8"/>
    <sheet name="Sensitivity analysis" sheetId="10" r:id="rId9"/>
    <sheet name="Savings per category" sheetId="9" r:id="rId10"/>
    <sheet name="HRG tariff" sheetId="13" r:id="rId11"/>
    <sheet name="OECD.Stat export" sheetId="12" r:id="rId12"/>
    <sheet name="Reference" sheetId="11" r:id="rId13"/>
    <sheet name="HES data" sheetId="7" r:id="rId14"/>
  </sheets>
  <externalReferences>
    <externalReference r:id="rId15"/>
  </externalReferences>
  <definedNames>
    <definedName name="_xlnm._FilterDatabase" localSheetId="7" hidden="1">'Cost pool breakdown'!$A$3:$AO$3</definedName>
    <definedName name="_xlnm._FilterDatabase" localSheetId="13" hidden="1">'HES data'!$B$5:$E$5</definedName>
    <definedName name="Array">[1]TitlePage!D32:H33</definedName>
    <definedName name="Data">[1]TitlePage!F16:F21</definedName>
    <definedName name="h" comment="what">#REF!</definedName>
    <definedName name="LocalData">[1]TitlePage!G16:G22</definedName>
    <definedName name="Population">#REF!</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24" i="8" l="1"/>
  <c r="AA18" i="8"/>
  <c r="Q24" i="8"/>
  <c r="K18" i="8"/>
  <c r="E5" i="14" l="1"/>
  <c r="E6" i="14"/>
  <c r="E8" i="14"/>
  <c r="E9" i="14"/>
  <c r="E10" i="14"/>
  <c r="E11" i="14"/>
  <c r="E12" i="14"/>
  <c r="E13" i="14"/>
  <c r="E4" i="14"/>
  <c r="P2" i="18"/>
  <c r="Q2" i="18" s="1"/>
  <c r="R2" i="18" s="1"/>
  <c r="S2" i="18" s="1"/>
  <c r="T2" i="18" s="1"/>
  <c r="U2" i="18" s="1"/>
  <c r="V2" i="18" s="1"/>
  <c r="W2" i="18" s="1"/>
  <c r="X2" i="18" s="1"/>
  <c r="Y2" i="18" s="1"/>
  <c r="Z2" i="18" s="1"/>
  <c r="AA2" i="18" s="1"/>
  <c r="AB2" i="18" s="1"/>
  <c r="AC2" i="18" s="1"/>
  <c r="AD2" i="18" s="1"/>
  <c r="AE2" i="18" s="1"/>
  <c r="AF2" i="18" s="1"/>
  <c r="AG2" i="18" s="1"/>
  <c r="AH2" i="18" s="1"/>
  <c r="AI2" i="18" s="1"/>
  <c r="AJ2" i="18" s="1"/>
  <c r="AK2" i="18" s="1"/>
  <c r="AL2" i="18" s="1"/>
  <c r="AM2" i="18" s="1"/>
  <c r="AN2" i="18" s="1"/>
  <c r="AO2" i="18" s="1"/>
  <c r="O17" i="4" l="1"/>
  <c r="R17" i="4" s="1"/>
  <c r="S17" i="4" s="1"/>
  <c r="D17" i="4" s="1"/>
  <c r="D30" i="8" s="1"/>
  <c r="E21" i="5"/>
  <c r="G12" i="8"/>
  <c r="E10" i="5"/>
  <c r="N12" i="8"/>
  <c r="G36" i="17" s="1"/>
  <c r="E36" i="17"/>
  <c r="F34" i="17" s="1"/>
  <c r="R35" i="17"/>
  <c r="R34" i="17"/>
  <c r="R33" i="17"/>
  <c r="R32" i="17"/>
  <c r="F32" i="17"/>
  <c r="R31" i="17"/>
  <c r="R30" i="17"/>
  <c r="F30" i="17"/>
  <c r="R29" i="17"/>
  <c r="R28" i="17"/>
  <c r="F28" i="17"/>
  <c r="R27" i="17"/>
  <c r="F27" i="17"/>
  <c r="R26" i="17"/>
  <c r="F26" i="17"/>
  <c r="R25" i="17"/>
  <c r="F25" i="17"/>
  <c r="R24" i="17"/>
  <c r="F24" i="17"/>
  <c r="R23" i="17"/>
  <c r="F23" i="17"/>
  <c r="R22" i="17"/>
  <c r="F22" i="17"/>
  <c r="R21" i="17"/>
  <c r="F21" i="17"/>
  <c r="R20" i="17"/>
  <c r="F20" i="17"/>
  <c r="R19" i="17"/>
  <c r="F19" i="17"/>
  <c r="R18" i="17"/>
  <c r="F18" i="17"/>
  <c r="R17" i="17"/>
  <c r="F17" i="17"/>
  <c r="R16" i="17"/>
  <c r="F16" i="17"/>
  <c r="R15" i="17"/>
  <c r="F15" i="17"/>
  <c r="R14" i="17"/>
  <c r="F14" i="17"/>
  <c r="R13" i="17"/>
  <c r="F13" i="17"/>
  <c r="R12" i="17"/>
  <c r="F12" i="17"/>
  <c r="R11" i="17"/>
  <c r="F11" i="17"/>
  <c r="R10" i="17"/>
  <c r="F10" i="17"/>
  <c r="R9" i="17"/>
  <c r="F9" i="17"/>
  <c r="R8" i="17"/>
  <c r="F8" i="17"/>
  <c r="R7" i="17"/>
  <c r="F7" i="17"/>
  <c r="R6" i="17"/>
  <c r="F6" i="17"/>
  <c r="R5" i="17"/>
  <c r="F5" i="17"/>
  <c r="R4" i="17"/>
  <c r="F4" i="17"/>
  <c r="R3" i="17"/>
  <c r="F3" i="17"/>
  <c r="F31" i="17" l="1"/>
  <c r="G31" i="17" s="1"/>
  <c r="J31" i="17" s="1"/>
  <c r="G16" i="17"/>
  <c r="J16" i="17" s="1"/>
  <c r="F29" i="17"/>
  <c r="F33" i="17"/>
  <c r="G33" i="17" s="1"/>
  <c r="J33" i="17" s="1"/>
  <c r="G5" i="17"/>
  <c r="J5" i="17" s="1"/>
  <c r="G13" i="17"/>
  <c r="J13" i="17" s="1"/>
  <c r="G19" i="17"/>
  <c r="J19" i="17" s="1"/>
  <c r="G23" i="17"/>
  <c r="J23" i="17" s="1"/>
  <c r="G29" i="17"/>
  <c r="J29" i="17" s="1"/>
  <c r="G30" i="17"/>
  <c r="J30" i="17" s="1"/>
  <c r="G32" i="17"/>
  <c r="J32" i="17" s="1"/>
  <c r="G3" i="17"/>
  <c r="J3" i="17" s="1"/>
  <c r="G4" i="17"/>
  <c r="J4" i="17" s="1"/>
  <c r="G10" i="17"/>
  <c r="J10" i="17" s="1"/>
  <c r="G11" i="17"/>
  <c r="J11" i="17" s="1"/>
  <c r="G12" i="17"/>
  <c r="J12" i="17" s="1"/>
  <c r="G18" i="17"/>
  <c r="J18" i="17" s="1"/>
  <c r="G22" i="17"/>
  <c r="J22" i="17" s="1"/>
  <c r="G27" i="17"/>
  <c r="J27" i="17" s="1"/>
  <c r="G28" i="17"/>
  <c r="J28" i="17" s="1"/>
  <c r="G9" i="17"/>
  <c r="J9" i="17" s="1"/>
  <c r="G17" i="17"/>
  <c r="J17" i="17" s="1"/>
  <c r="G21" i="17"/>
  <c r="J21" i="17" s="1"/>
  <c r="G25" i="17"/>
  <c r="J25" i="17" s="1"/>
  <c r="G26" i="17"/>
  <c r="J26" i="17" s="1"/>
  <c r="G34" i="17"/>
  <c r="J34" i="17" s="1"/>
  <c r="G6" i="17"/>
  <c r="J6" i="17" s="1"/>
  <c r="G7" i="17"/>
  <c r="J7" i="17" s="1"/>
  <c r="G8" i="17"/>
  <c r="J8" i="17" s="1"/>
  <c r="G14" i="17"/>
  <c r="J14" i="17" s="1"/>
  <c r="G15" i="17"/>
  <c r="J15" i="17" s="1"/>
  <c r="G20" i="17"/>
  <c r="J20" i="17" s="1"/>
  <c r="G24" i="17"/>
  <c r="J24" i="17" s="1"/>
  <c r="F35" i="17"/>
  <c r="G35" i="17" s="1"/>
  <c r="J35" i="17" s="1"/>
  <c r="J36" i="17" l="1"/>
  <c r="H27" i="5" l="1"/>
  <c r="E27" i="5"/>
  <c r="C51" i="16" l="1"/>
  <c r="C50" i="16"/>
  <c r="C49" i="16"/>
  <c r="D44" i="16"/>
  <c r="D42" i="16"/>
  <c r="D41" i="16"/>
  <c r="I9" i="10"/>
  <c r="I10" i="10"/>
  <c r="D11" i="10"/>
  <c r="E11" i="10"/>
  <c r="I11" i="10"/>
  <c r="D43" i="16" l="1"/>
  <c r="D23" i="8"/>
  <c r="E23" i="8"/>
  <c r="N15" i="8"/>
  <c r="G15" i="8"/>
  <c r="O12" i="5" l="1"/>
  <c r="N12" i="5"/>
  <c r="F14" i="14"/>
  <c r="G4" i="14" s="1"/>
  <c r="D14" i="14"/>
  <c r="AD12" i="8"/>
  <c r="B34" i="8"/>
  <c r="B33" i="8"/>
  <c r="D32" i="8"/>
  <c r="B32" i="8"/>
  <c r="G6" i="14" l="1"/>
  <c r="G11" i="14"/>
  <c r="G10" i="14"/>
  <c r="G5" i="14"/>
  <c r="G13" i="14"/>
  <c r="G9" i="14"/>
  <c r="G12" i="14"/>
  <c r="G8" i="14"/>
  <c r="H21" i="5"/>
  <c r="H10" i="5"/>
  <c r="G37" i="17"/>
  <c r="AD15" i="8"/>
  <c r="N18" i="4"/>
  <c r="O18" i="4" s="1"/>
  <c r="S18" i="4" s="1"/>
  <c r="H28" i="5"/>
  <c r="H26" i="5"/>
  <c r="E28" i="5"/>
  <c r="D28" i="5"/>
  <c r="D27" i="5"/>
  <c r="E26" i="5"/>
  <c r="H26" i="17" l="1"/>
  <c r="K26" i="17" s="1"/>
  <c r="H10" i="17"/>
  <c r="K10" i="17" s="1"/>
  <c r="H6" i="17"/>
  <c r="K6" i="17" s="1"/>
  <c r="H21" i="17"/>
  <c r="K21" i="17" s="1"/>
  <c r="H32" i="17"/>
  <c r="K32" i="17" s="1"/>
  <c r="H16" i="17"/>
  <c r="K16" i="17" s="1"/>
  <c r="H33" i="17"/>
  <c r="K33" i="17" s="1"/>
  <c r="H31" i="17"/>
  <c r="K31" i="17" s="1"/>
  <c r="H15" i="17"/>
  <c r="K15" i="17" s="1"/>
  <c r="H34" i="17"/>
  <c r="K34" i="17" s="1"/>
  <c r="H30" i="17"/>
  <c r="K30" i="17" s="1"/>
  <c r="H13" i="17"/>
  <c r="K13" i="17" s="1"/>
  <c r="H28" i="17"/>
  <c r="K28" i="17" s="1"/>
  <c r="H12" i="17"/>
  <c r="K12" i="17" s="1"/>
  <c r="H25" i="17"/>
  <c r="K25" i="17" s="1"/>
  <c r="H27" i="17"/>
  <c r="K27" i="17" s="1"/>
  <c r="H11" i="17"/>
  <c r="K11" i="17" s="1"/>
  <c r="H7" i="17"/>
  <c r="K7" i="17" s="1"/>
  <c r="H18" i="17"/>
  <c r="K18" i="17" s="1"/>
  <c r="H14" i="17"/>
  <c r="K14" i="17" s="1"/>
  <c r="H5" i="17"/>
  <c r="K5" i="17" s="1"/>
  <c r="H24" i="17"/>
  <c r="K24" i="17" s="1"/>
  <c r="H8" i="17"/>
  <c r="K8" i="17" s="1"/>
  <c r="H17" i="17"/>
  <c r="K17" i="17" s="1"/>
  <c r="H23" i="17"/>
  <c r="K23" i="17" s="1"/>
  <c r="H22" i="17"/>
  <c r="K22" i="17" s="1"/>
  <c r="H29" i="17"/>
  <c r="K29" i="17" s="1"/>
  <c r="H3" i="17"/>
  <c r="K3" i="17" s="1"/>
  <c r="H20" i="17"/>
  <c r="K20" i="17" s="1"/>
  <c r="H4" i="17"/>
  <c r="K4" i="17" s="1"/>
  <c r="H9" i="17"/>
  <c r="K9" i="17" s="1"/>
  <c r="H19" i="17"/>
  <c r="K19" i="17" s="1"/>
  <c r="H35" i="17"/>
  <c r="K35" i="17" s="1"/>
  <c r="G24" i="8"/>
  <c r="D18" i="4"/>
  <c r="D31" i="8" s="1"/>
  <c r="F34" i="8"/>
  <c r="F33" i="8"/>
  <c r="G32" i="8"/>
  <c r="G27" i="5" s="1"/>
  <c r="F32" i="8"/>
  <c r="G31" i="8"/>
  <c r="F31" i="8"/>
  <c r="G30" i="8"/>
  <c r="F30" i="8"/>
  <c r="F26" i="8"/>
  <c r="G27" i="8"/>
  <c r="F23" i="8"/>
  <c r="G21" i="8"/>
  <c r="F20" i="8"/>
  <c r="G18" i="8"/>
  <c r="F17" i="8"/>
  <c r="F22" i="4"/>
  <c r="A1" i="12"/>
  <c r="J37" i="17" l="1"/>
  <c r="H11" i="5"/>
  <c r="G16" i="5"/>
  <c r="G31" i="5"/>
  <c r="G15" i="5"/>
  <c r="G30" i="5"/>
  <c r="P27" i="8"/>
  <c r="L21" i="8"/>
  <c r="D16" i="5"/>
  <c r="D31" i="5"/>
  <c r="D15" i="5"/>
  <c r="D30" i="5"/>
  <c r="AB21" i="8" l="1"/>
  <c r="H22" i="5"/>
  <c r="H30" i="5"/>
  <c r="H31" i="5" s="1"/>
  <c r="AF27" i="8"/>
  <c r="E11" i="5"/>
  <c r="E15" i="5" l="1"/>
  <c r="E16" i="5"/>
  <c r="H15" i="5"/>
  <c r="H16" i="5" s="1"/>
  <c r="E22" i="5"/>
  <c r="E30" i="5"/>
  <c r="E31" i="5" s="1"/>
  <c r="F31" i="5" l="1"/>
  <c r="S28" i="5" s="1"/>
  <c r="F30" i="5"/>
  <c r="N28" i="5" s="1"/>
  <c r="F16" i="5"/>
  <c r="S14" i="5" s="1"/>
  <c r="F15" i="5"/>
  <c r="N14" i="5" s="1"/>
  <c r="F28" i="5"/>
  <c r="F27" i="5"/>
  <c r="H11" i="4"/>
  <c r="D34" i="8" s="1"/>
  <c r="G34" i="8" s="1"/>
  <c r="G28" i="5" s="1"/>
  <c r="E7" i="4"/>
  <c r="F7" i="4" s="1"/>
  <c r="H7" i="4" s="1"/>
  <c r="D33" i="8" s="1"/>
  <c r="G33" i="8" s="1"/>
  <c r="G26" i="5" s="1"/>
  <c r="F23" i="4"/>
  <c r="S29" i="5" l="1"/>
  <c r="S34" i="5"/>
  <c r="S30" i="5"/>
  <c r="S35" i="5"/>
  <c r="S32" i="5"/>
  <c r="S36" i="5"/>
  <c r="S33" i="5"/>
  <c r="S37" i="5"/>
  <c r="S16" i="5"/>
  <c r="S21" i="5"/>
  <c r="S18" i="5"/>
  <c r="S22" i="5"/>
  <c r="S19" i="5"/>
  <c r="S23" i="5"/>
  <c r="S15" i="5"/>
  <c r="S20" i="5"/>
  <c r="N29" i="5"/>
  <c r="N35" i="5"/>
  <c r="N30" i="5"/>
  <c r="N36" i="5"/>
  <c r="N32" i="5"/>
  <c r="N37" i="5"/>
  <c r="N34" i="5"/>
  <c r="N33" i="5"/>
  <c r="N18" i="5"/>
  <c r="N19" i="5"/>
  <c r="N15" i="5"/>
  <c r="N21" i="5"/>
  <c r="N20" i="5"/>
  <c r="N16" i="5"/>
  <c r="N22" i="5"/>
  <c r="N23" i="5"/>
  <c r="D26" i="5"/>
  <c r="F26" i="5" s="1"/>
  <c r="F34" i="5" s="1"/>
  <c r="F18" i="5"/>
  <c r="H13" i="4"/>
  <c r="E54" i="5" l="1"/>
  <c r="E43" i="5"/>
  <c r="E51" i="5"/>
  <c r="E44" i="5"/>
  <c r="E48" i="5"/>
  <c r="E45" i="5"/>
  <c r="E49" i="5"/>
  <c r="E47" i="5"/>
  <c r="E52" i="5"/>
  <c r="E50" i="5"/>
  <c r="S24" i="5"/>
  <c r="S38" i="5"/>
  <c r="N38" i="5"/>
  <c r="N24" i="5"/>
  <c r="F36" i="5"/>
  <c r="E53" i="5" l="1"/>
  <c r="F37" i="5"/>
  <c r="I27" i="5"/>
  <c r="I26" i="5"/>
  <c r="I15" i="5"/>
  <c r="I16" i="5"/>
  <c r="I31" i="5"/>
  <c r="H54" i="5" l="1"/>
  <c r="E56" i="5"/>
  <c r="T30" i="5"/>
  <c r="T35" i="5"/>
  <c r="T32" i="5"/>
  <c r="T36" i="5"/>
  <c r="T33" i="5"/>
  <c r="T37" i="5"/>
  <c r="T29" i="5"/>
  <c r="T34" i="5"/>
  <c r="T28" i="5"/>
  <c r="T18" i="5"/>
  <c r="T22" i="5"/>
  <c r="T19" i="5"/>
  <c r="T23" i="5"/>
  <c r="T15" i="5"/>
  <c r="T20" i="5"/>
  <c r="T14" i="5"/>
  <c r="T16" i="5"/>
  <c r="T21" i="5"/>
  <c r="O19" i="5"/>
  <c r="O14" i="5"/>
  <c r="O23" i="5"/>
  <c r="O20" i="5"/>
  <c r="O15" i="5"/>
  <c r="O21" i="5"/>
  <c r="O16" i="5"/>
  <c r="O22" i="5"/>
  <c r="O18" i="5"/>
  <c r="I30" i="5"/>
  <c r="O28" i="5" s="1"/>
  <c r="I28" i="5"/>
  <c r="I18" i="5"/>
  <c r="H43" i="5" l="1"/>
  <c r="T38" i="5"/>
  <c r="T24" i="5"/>
  <c r="O32" i="5"/>
  <c r="H47" i="5" s="1"/>
  <c r="O36" i="5"/>
  <c r="H51" i="5" s="1"/>
  <c r="O29" i="5"/>
  <c r="H44" i="5" s="1"/>
  <c r="O33" i="5"/>
  <c r="H48" i="5" s="1"/>
  <c r="O37" i="5"/>
  <c r="H52" i="5" s="1"/>
  <c r="O30" i="5"/>
  <c r="H45" i="5" s="1"/>
  <c r="O34" i="5"/>
  <c r="H49" i="5" s="1"/>
  <c r="O35" i="5"/>
  <c r="H50" i="5" s="1"/>
  <c r="O24" i="5"/>
  <c r="I34" i="5"/>
  <c r="I36" i="5" s="1"/>
  <c r="I37" i="5" s="1"/>
  <c r="H53" i="5" l="1"/>
  <c r="H56" i="5" s="1"/>
  <c r="O38" i="5"/>
</calcChain>
</file>

<file path=xl/comments1.xml><?xml version="1.0" encoding="utf-8"?>
<comments xmlns="http://schemas.openxmlformats.org/spreadsheetml/2006/main">
  <authors>
    <author>WeiChe Lin</author>
  </authors>
  <commentList>
    <comment ref="N17" authorId="0" shapeId="0">
      <text>
        <r>
          <rPr>
            <b/>
            <sz val="9"/>
            <color indexed="81"/>
            <rFont val="Tahoma"/>
            <family val="2"/>
          </rPr>
          <t>WeiChe Lin:</t>
        </r>
        <r>
          <rPr>
            <sz val="9"/>
            <color indexed="81"/>
            <rFont val="Tahoma"/>
            <family val="2"/>
          </rPr>
          <t xml:space="preserve">
Cost in 2009
</t>
        </r>
      </text>
    </comment>
    <comment ref="N18" authorId="0" shapeId="0">
      <text>
        <r>
          <rPr>
            <b/>
            <sz val="9"/>
            <color indexed="81"/>
            <rFont val="Tahoma"/>
            <family val="2"/>
          </rPr>
          <t>WeiChe Lin:</t>
        </r>
        <r>
          <rPr>
            <sz val="9"/>
            <color indexed="81"/>
            <rFont val="Tahoma"/>
            <family val="2"/>
          </rPr>
          <t xml:space="preserve">
Cost in 2015</t>
        </r>
      </text>
    </comment>
  </commentList>
</comments>
</file>

<file path=xl/comments2.xml><?xml version="1.0" encoding="utf-8"?>
<comments xmlns="http://schemas.openxmlformats.org/spreadsheetml/2006/main">
  <authors>
    <author>Richard Tuson</author>
  </authors>
  <commentList>
    <comment ref="B5" authorId="0" shapeId="0">
      <text>
        <r>
          <rPr>
            <b/>
            <sz val="9"/>
            <color indexed="81"/>
            <rFont val="Tahoma"/>
            <family val="2"/>
          </rPr>
          <t>Richard Tuson:</t>
        </r>
        <r>
          <rPr>
            <sz val="9"/>
            <color indexed="81"/>
            <rFont val="Tahoma"/>
            <family val="2"/>
          </rPr>
          <t xml:space="preserve">
Site code - This code is a unique assigned code to that providers facility</t>
        </r>
      </text>
    </comment>
  </commentList>
</comments>
</file>

<file path=xl/sharedStrings.xml><?xml version="1.0" encoding="utf-8"?>
<sst xmlns="http://schemas.openxmlformats.org/spreadsheetml/2006/main" count="934" uniqueCount="420">
  <si>
    <t>Unit cost calculation</t>
  </si>
  <si>
    <t>Cost</t>
  </si>
  <si>
    <t>Maintenance costs (lifetime)</t>
  </si>
  <si>
    <t>Annual cost (lifetime = 10 years)</t>
  </si>
  <si>
    <t>Minimum annual procedures</t>
  </si>
  <si>
    <t xml:space="preserve">Cost per procedure </t>
  </si>
  <si>
    <t>Note</t>
  </si>
  <si>
    <t>Role</t>
  </si>
  <si>
    <t>Cost per hour</t>
  </si>
  <si>
    <t>1*</t>
  </si>
  <si>
    <t>2*</t>
  </si>
  <si>
    <t>3*</t>
  </si>
  <si>
    <t>4*</t>
  </si>
  <si>
    <t>Total</t>
  </si>
  <si>
    <t>The costs of overheads are not included in this analysis. Use of VeriQ leads to a small change in the length of a procedure, which will have a very small impact on overhead costs.</t>
  </si>
  <si>
    <t>References</t>
  </si>
  <si>
    <t>Consultant – http://www.nhscareers.nhs.uk/details/Default.aspx?Id=553</t>
  </si>
  <si>
    <t>Specialist doctor – http://www.nhscareers.nhs.uk/details/Default.aspx?Id=554</t>
  </si>
  <si>
    <t>Mid-point band 6 Agenda for change 2011/12</t>
  </si>
  <si>
    <t>Mid-point band 7 Agenda for change 2011/12</t>
  </si>
  <si>
    <r>
      <t>Equipment cost (</t>
    </r>
    <r>
      <rPr>
        <b/>
        <sz val="11"/>
        <rFont val="Calibri"/>
        <family val="2"/>
      </rPr>
      <t>₤</t>
    </r>
    <r>
      <rPr>
        <b/>
        <sz val="11"/>
        <rFont val="Arial"/>
        <family val="2"/>
      </rPr>
      <t>)</t>
    </r>
  </si>
  <si>
    <t>FLIP</t>
  </si>
  <si>
    <t>Test kit</t>
  </si>
  <si>
    <t>Costing template</t>
  </si>
  <si>
    <t>Cost for selected population using local assumptions</t>
  </si>
  <si>
    <t xml:space="preserve">Notes </t>
  </si>
  <si>
    <t>Unit cost £</t>
  </si>
  <si>
    <t>Units</t>
  </si>
  <si>
    <t>Current practice</t>
  </si>
  <si>
    <t>Estimated costs of current practice</t>
  </si>
  <si>
    <t>Future practice</t>
  </si>
  <si>
    <t>Estimated costs of future practice</t>
  </si>
  <si>
    <t>Net resource impact</t>
  </si>
  <si>
    <t>Staff time (band 5 nurse) ( 2 tests)</t>
  </si>
  <si>
    <t>Required staff time with the LiMAx pathway (hrs)</t>
  </si>
  <si>
    <t>Cost in total</t>
  </si>
  <si>
    <t>Version</t>
  </si>
  <si>
    <t>Data Source</t>
  </si>
  <si>
    <t>HSCIC HES Data Extracts</t>
  </si>
  <si>
    <t>Site Code</t>
  </si>
  <si>
    <t>Provider Name</t>
  </si>
  <si>
    <t>Total FCE Activity 14-15</t>
  </si>
  <si>
    <t>Mean Length of Stay</t>
  </si>
  <si>
    <t>R1H</t>
  </si>
  <si>
    <t>BARTS HEALTH NHS TRUST</t>
  </si>
  <si>
    <t>RA201</t>
  </si>
  <si>
    <t>ROYAL SURREY COUNTY HOSPITAL</t>
  </si>
  <si>
    <t>RA7</t>
  </si>
  <si>
    <t>UNIVERSITY HOSPITALS BRISTOL NHS FOUNDATION TRUST</t>
  </si>
  <si>
    <t>RAJ</t>
  </si>
  <si>
    <t>SOUTHEND UNIVERSITY HOSPITAL NHS FOUNDATION TRUST</t>
  </si>
  <si>
    <t>*</t>
  </si>
  <si>
    <t>RAL</t>
  </si>
  <si>
    <t>ROYAL FREE LONDON NHS FOUNDATION TRUST</t>
  </si>
  <si>
    <t>RAX</t>
  </si>
  <si>
    <t>KINGSTON HOSPITAL NHS FOUNDATION TRUST</t>
  </si>
  <si>
    <t>RBV01</t>
  </si>
  <si>
    <t>THE CHRISTIE</t>
  </si>
  <si>
    <t>RC9</t>
  </si>
  <si>
    <t>LUTON AND DUNSTABLE UNIVERSITY HOSPITAL NHS FOUNDATION TRUST</t>
  </si>
  <si>
    <t>REM</t>
  </si>
  <si>
    <t>AINTREE UNIVERSITY HOSPITAL NHS FOUNDATION TRUST</t>
  </si>
  <si>
    <t>RGP</t>
  </si>
  <si>
    <t>JAMES PAGET UNIVERSITY HOSPITALS NHS FOUNDATION TRUST</t>
  </si>
  <si>
    <t>RGT</t>
  </si>
  <si>
    <t>CAMBRIDGE UNIVERSITY HOSPITALS NHS FOUNDATION TRUST</t>
  </si>
  <si>
    <t>RGT01</t>
  </si>
  <si>
    <t>ADDENBROOKE'S HOSPITAL</t>
  </si>
  <si>
    <t>RH8</t>
  </si>
  <si>
    <t>ROYAL DEVON AND EXETER NHS FOUNDATION TRUST</t>
  </si>
  <si>
    <t>RHM</t>
  </si>
  <si>
    <t>UNIVERSITY HOSPITAL SOUTHAMPTON NHS FOUNDATION TRUST</t>
  </si>
  <si>
    <t>RHQ</t>
  </si>
  <si>
    <t>SHEFFIELD TEACHING HOSPITALS NHS FOUNDATION TRUST</t>
  </si>
  <si>
    <t>RHU</t>
  </si>
  <si>
    <t>PORTSMOUTH HOSPITALS NHS TRUST</t>
  </si>
  <si>
    <t>RJE01</t>
  </si>
  <si>
    <t>NORTH STAFFORDSHIRE ROYAL INFIRMARY</t>
  </si>
  <si>
    <t>RJZ01</t>
  </si>
  <si>
    <t>KING'S COLLEGE HOSPITAL (DENMARK HILL)</t>
  </si>
  <si>
    <t>RJZ30</t>
  </si>
  <si>
    <t>PRINCESS ROYAL UNIVERSITY HOSPITAL</t>
  </si>
  <si>
    <t>RK9</t>
  </si>
  <si>
    <t>PLYMOUTH HOSPITALS NHS TRUST</t>
  </si>
  <si>
    <t>RKB</t>
  </si>
  <si>
    <t>UNIVERSITY HOSPITALS COVENTRY AND WARWICKSHIRE NHS TRUST</t>
  </si>
  <si>
    <t>RM1</t>
  </si>
  <si>
    <t>NORFOLK AND NORWICH UNIVERSITY HOSPITALS NHS FOUNDATION TRUST</t>
  </si>
  <si>
    <t>RN5</t>
  </si>
  <si>
    <t>HAMPSHIRE HOSPITALS NHS FOUNDATION TRUST</t>
  </si>
  <si>
    <t>RPY</t>
  </si>
  <si>
    <t>THE ROYAL MARSDEN NHS FOUNDATION TRUST</t>
  </si>
  <si>
    <t>RQ3</t>
  </si>
  <si>
    <t>BIRMINGHAM CHILDREN'S HOSPITAL NHS FOUNDATION TRUST</t>
  </si>
  <si>
    <t>RR105</t>
  </si>
  <si>
    <t>GOOD HOPE HOSPITAL</t>
  </si>
  <si>
    <t>RR8</t>
  </si>
  <si>
    <t>LEEDS TEACHING HOSPITALS NHS TRUST</t>
  </si>
  <si>
    <t>RRK02</t>
  </si>
  <si>
    <t>QUEEN ELIZABETH HOSPITAL</t>
  </si>
  <si>
    <t>RRK15</t>
  </si>
  <si>
    <t>QUEEN ELIZABETH HOSPITAL BIRMINGHAM</t>
  </si>
  <si>
    <t>RRV03</t>
  </si>
  <si>
    <t>UNIVERSITY COLLEGE HOSPITAL</t>
  </si>
  <si>
    <t>RTD</t>
  </si>
  <si>
    <t>THE NEWCASTLE UPON TYNE HOSPITALS NHS FOUNDATION TRUST</t>
  </si>
  <si>
    <t>RTF</t>
  </si>
  <si>
    <t>NORTHUMBRIA HEALTHCARE NHS FOUNDATION TRUST</t>
  </si>
  <si>
    <t>RTH</t>
  </si>
  <si>
    <t>OXFORD UNIVERSITY HOSPITALS NHS TRUST</t>
  </si>
  <si>
    <t>RW3</t>
  </si>
  <si>
    <t>CENTRAL MANCHESTER UNIVERSITY HOSPITALS NHS FOUNDATION TRUST</t>
  </si>
  <si>
    <t>RW6</t>
  </si>
  <si>
    <t>PENNINE ACUTE HOSPITALS NHS TRUST</t>
  </si>
  <si>
    <t>RWA</t>
  </si>
  <si>
    <t>HULL AND EAST YORKSHIRE HOSPITALS NHS TRUST</t>
  </si>
  <si>
    <t>RWE</t>
  </si>
  <si>
    <t>UNIVERSITY HOSPITALS OF LEICESTER NHS TRUST</t>
  </si>
  <si>
    <t>RWH</t>
  </si>
  <si>
    <t>EAST AND NORTH HERTFORDSHIRE NHS TRUST</t>
  </si>
  <si>
    <t>RX1</t>
  </si>
  <si>
    <t>NOTTINGHAM UNIVERSITY HOSPITALS NHS TRUST</t>
  </si>
  <si>
    <t>RXR01</t>
  </si>
  <si>
    <t>BLACKBURN HOSPITALS</t>
  </si>
  <si>
    <t>RYJ</t>
  </si>
  <si>
    <t>IMPERIAL COLLEGE HEALTHCARE NHS TRUST</t>
  </si>
  <si>
    <t>-</t>
  </si>
  <si>
    <t>Assumptions input</t>
  </si>
  <si>
    <t>Pathway</t>
  </si>
  <si>
    <r>
      <t>The variables listed in the table below can be amended to reflect local circumstances. It is recommended that local users pay particular attention to the variables highlighted in bold. These have been identified as the significant cost drivers for this appraisal.</t>
    </r>
    <r>
      <rPr>
        <b/>
        <sz val="11"/>
        <color indexed="8"/>
        <rFont val="Arial"/>
        <family val="2"/>
      </rPr>
      <t xml:space="preserve"> If local data are not available the estimate made by NICE can be used.</t>
    </r>
  </si>
  <si>
    <t>The pathway below shows the estimated numbers of patients and procedures that are affected by the NICE guidance. They are based on the assumptions made and the population selected.</t>
  </si>
  <si>
    <t>Current</t>
  </si>
  <si>
    <t>Future</t>
  </si>
  <si>
    <t>To sheet 6</t>
  </si>
  <si>
    <t>Variable narrative</t>
  </si>
  <si>
    <t>Source</t>
  </si>
  <si>
    <t>Local Assumption</t>
  </si>
  <si>
    <t>Variance</t>
  </si>
  <si>
    <t>Back to guide</t>
  </si>
  <si>
    <t>Column to be hidden</t>
  </si>
  <si>
    <t>Cost of additional staff time</t>
  </si>
  <si>
    <t>Total liver surgery episode</t>
  </si>
  <si>
    <t>Current incidence of PHLF</t>
  </si>
  <si>
    <t>Current regular recovery cases</t>
  </si>
  <si>
    <t>Future incidence of PHLF</t>
  </si>
  <si>
    <t>Future regular recovery</t>
  </si>
  <si>
    <t>Treatment cost without PHLF and with regular recovery</t>
  </si>
  <si>
    <t>Cost of treatment</t>
  </si>
  <si>
    <t>Cost per case</t>
  </si>
  <si>
    <t>&lt;?xml version="1.0"?&gt;&lt;WebTableParameter xmlns:xsd="http://www.w3.org/2001/XMLSchema" xmlns:xsi="http://www.w3.org/2001/XMLSchema-instance" xmlns=""&gt;&lt;DataTable Code="PPPGDP" HasMetadata="true"&gt;&lt;Name LocaleIsoCode="en"&gt;Purchasing Power Parities for GDP and related indicators&lt;/Name&gt;&lt;Name LocaleIsoCode="fr"&gt;Parités de pouvoir d'achat pour le PIB et indicateurs dérivés&lt;/Name&gt;&lt;Dimension Code="INDIC" Display="labels"&gt;&lt;Name LocaleIsoCode="en"&gt;Indicator&lt;/Name&gt;&lt;Name LocaleIsoCode="fr"&gt;Indicateur&lt;/Name&gt;&lt;Member Code="PPPGDP"&gt;&lt;Name LocaleIsoCode="en"&gt;Purchasing Power Parities for GDP&lt;/Name&gt;&lt;Name LocaleIsoCode="fr"&gt;Parités de pouvoir d'achat pour le PIB&lt;/Name&gt;&lt;ChildMember Code="PPP" HasMetadata="true"&gt;&lt;Name LocaleIsoCode="en"&gt;Purchasing Power Parities&lt;/Name&gt;&lt;Name LocaleIsoCode="fr"&gt;Parités de pouvoir d'achat&lt;/Name&gt;&lt;/ChildMember&gt;&lt;ChildMember Code="CPL" HasMetadata="true"&gt;&lt;Name LocaleIsoCode="en"&gt;Comparative Price Levels&lt;/Name&gt;&lt;Name LocaleIsoCode="fr"&gt;Niveaux de prix comparés&lt;/Name&gt;&lt;/ChildMember&gt;&lt;ChildMember Code="PCVI"&gt;&lt;Name LocaleIsoCode="en"&gt;Per capita volume indices&lt;/Name&gt;&lt;Name LocaleIsoCode="fr"&gt;Indices de volume par tête&lt;/Name&gt;&lt;ChildMember Code="CUR" HasMetadata="true"&gt;&lt;Name LocaleIsoCode="en"&gt;Current PPPs&lt;/Name&gt;&lt;Name LocaleIsoCode="fr"&gt;Parités courantes&lt;/Name&gt;&lt;/ChildMember&gt;&lt;ChildMember Code="CST" HasMetadata="true"&gt;&lt;Name LocaleIsoCode="en"&gt;Constant 2010 PPPs&lt;/Name&gt;&lt;Name LocaleIsoCode="fr"&gt;Parités constantes 2010&lt;/Name&gt;&lt;/ChildMember&gt;&lt;/ChildMember&gt;&lt;/Member&gt;&lt;/Dimension&gt;&lt;Dimension Code="FAKEUNITDIM" xmlns=""&gt;&lt;Name LocaleIsoCode="en"&gt;Unit&lt;/Name&gt;&lt;Name LocaleIsoCode="fr"&gt;Unité&lt;/Name&gt;&lt;Member Code="FAKEUNITMEMBERCODE"&gt;&lt;Name LocaleIsoCode="en"&gt;Default Unit&lt;/Name&gt;&lt;Name LocaleIsoCode="fr"&gt;Unité par défaut&lt;/Name&gt;&lt;/Member&gt;&lt;/Dimension&gt;&lt;Dimension Code="LOCATION" CommonCode="LOCATION" Display="labels"&gt;&lt;Name LocaleIsoCode="en"&gt;Country&lt;/Name&gt;&lt;Name LocaleIsoCode="fr"&gt;Pays&lt;/Name&gt;&lt;Member Code="AUS" HasOnlyUnitMetadata="false"&gt;&lt;Name LocaleIsoCode="en"&gt;Australia&lt;/Name&gt;&lt;Name LocaleIsoCode="fr"&gt;Australie&lt;/Name&gt;&lt;/Member&gt;&lt;Member Code="AUT" HasOnlyUnitMetadata="false"&gt;&lt;Name LocaleIsoCode="en"&gt;Austria&lt;/Name&gt;&lt;Name LocaleIsoCode="fr"&gt;Autriche&lt;/Name&gt;&lt;/Member&gt;&lt;Member Code="BEL" HasOnlyUnitMetadata="false"&gt;&lt;Name LocaleIsoCode="en"&gt;Belgium&lt;/Name&gt;&lt;Name LocaleIsoCode="fr"&gt;Belgique&lt;/Name&gt;&lt;/Member&gt;&lt;Member Code="CAN" HasOnlyUnitMetadata="false"&gt;&lt;Name LocaleIsoCode="en"&gt;Canada&lt;/Name&gt;&lt;Name LocaleIsoCode="fr"&gt;Canada&lt;/Name&gt;&lt;/Member&gt;&lt;Member Code="CHL" HasOnlyUnitMetadata="false"&gt;&lt;Name LocaleIsoCode="en"&gt;Chile&lt;/Name&gt;&lt;Name LocaleIsoCode="fr"&gt;Chili&lt;/Name&gt;&lt;/Member&gt;&lt;Member Code="CZE" HasOnlyUnitMetadata="false"&gt;&lt;Name LocaleIsoCode="en"&gt;Czech Republic&lt;/Name&gt;&lt;Name LocaleIsoCode="fr"&gt;République tchèque&lt;/Name&gt;&lt;/Member&gt;&lt;Member Code="DNK" HasOnlyUnitMetadata="false"&gt;&lt;Name LocaleIsoCode="en"&gt;Denmark&lt;/Name&gt;&lt;Name LocaleIsoCode="fr"&gt;Danemark&lt;/Name&gt;&lt;/Member&gt;&lt;Member Code="EST" HasOnlyUnitMetadata="false"&gt;&lt;Name LocaleIsoCode="en"&gt;Estonia&lt;/Name&gt;&lt;Name LocaleIsoCode="fr"&gt;Estonie&lt;/Name&gt;&lt;/Member&gt;&lt;Member Code="FIN" HasOnlyUnitMetadata="false"&gt;&lt;Name LocaleIsoCode="en"&gt;Finland&lt;/Name&gt;&lt;Name LocaleIsoCode="fr"&gt;Finlande&lt;/Name&gt;&lt;/Member&gt;&lt;Member Code="FRA" HasOnlyUnitMetadata="false"&gt;&lt;Name LocaleIsoCode="en"&gt;France&lt;/Name&gt;&lt;Name LocaleIsoCode="fr"&gt;France&lt;/Name&gt;&lt;/Member&gt;&lt;Member Code="DEU" HasMetadata="true" HasOnlyUnitMetadata="false"&gt;&lt;Name LocaleIsoCode="en"&gt;Germany&lt;/Name&gt;&lt;Name LocaleIsoCode="fr"&gt;Allemagne&lt;/Name&gt;&lt;/Member&gt;&lt;Member Code="GRC" HasOnlyUnitMetadata="false"&gt;&lt;Name LocaleIsoCode="en"&gt;Greece&lt;/Name&gt;&lt;Name LocaleIsoCode="fr"&gt;Grèce&lt;/Name&gt;&lt;/Member&gt;&lt;Member Code="HUN" HasOnlyUnitMetadata="false"&gt;&lt;Name LocaleIsoCode="en"&gt;Hungary&lt;/Name&gt;&lt;Name LocaleIsoCode="fr"&gt;Hongrie&lt;/Name&gt;&lt;/Member&gt;&lt;Member Code="ISL" HasOnlyUnitMetadata="false"&gt;&lt;Name LocaleIsoCode="en"&gt;Iceland&lt;/Name&gt;&lt;Name LocaleIsoCode="fr"&gt;Islande&lt;/Name&gt;&lt;/Member&gt;&lt;Member Code="IRL" HasOnlyUnitMetadata="false"&gt;&lt;Name LocaleIsoCode="en"&gt;Ireland&lt;/Name&gt;&lt;Name LocaleIsoCode="fr"&gt;Irlande&lt;/Name&gt;&lt;/Member&gt;&lt;Member Code="ISR" HasMetadata="true" HasOnlyUnitMetadata="false"&gt;&lt;Name LocaleIsoCode="en"&gt;Israel&lt;/Name&gt;&lt;Name LocaleIsoCode="fr"&gt;Israël&lt;/Name&gt;&lt;/Member&gt;&lt;Member Code="ITA" HasOnlyUnitMetadata="false"&gt;&lt;Name LocaleIsoCode="en"&gt;Italy&lt;/Name&gt;&lt;Name LocaleIsoCode="fr"&gt;Italie&lt;/Name&gt;&lt;/Member&gt;&lt;Member Code="JPN" HasOnlyUnitMetadata="false"&gt;&lt;Name LocaleIsoCode="en"&gt;Japan&lt;/Name&gt;&lt;Name LocaleIsoCode="fr"&gt;Japon&lt;/Name&gt;&lt;/Member&gt;&lt;Member Code="KOR" HasOnlyUnitMetadata="false"&gt;&lt;Name LocaleIsoCode="en"&gt;Korea&lt;/Name&gt;&lt;Name LocaleIsoCode="fr"&gt;Corée&lt;/Name&gt;&lt;/Member&gt;&lt;Member Code="LVA" HasOnlyUnitMetadata="false"&gt;&lt;Name LocaleIsoCode="en"&gt;Latvia&lt;/Name&gt;&lt;Name LocaleIsoCode="fr"&gt;Lettonie&lt;/Name&gt;&lt;/Member&gt;&lt;Member Code="LUX" HasOnlyUnitMetadata="false"&gt;&lt;Name LocaleIsoCode="en"&gt;Luxembourg&lt;/Name&gt;&lt;Name LocaleIsoCode="fr"&gt;Luxembourg&lt;/Name&gt;&lt;/Member&gt;&lt;Member Code="MEX" HasOnlyUnitMetadata="false"&gt;&lt;Name LocaleIsoCode="en"&gt;Mexico&lt;/Name&gt;&lt;Name LocaleIsoCode="fr"&gt;Mexique&lt;/Name&gt;&lt;/Member&gt;&lt;Member Code="NLD" HasOnlyUnitMetadata="false"&gt;&lt;Name LocaleIsoCode="en"&gt;Netherlands&lt;/Name&gt;&lt;Name LocaleIsoCode="fr"&gt;Pays-Bas&lt;/Name&gt;&lt;/Member&gt;&lt;Member Code="NZL" HasOnlyUnitMetadata="false"&gt;&lt;Name LocaleIsoCode="en"&gt;New Zealand&lt;/Name&gt;&lt;Name LocaleIsoCode="fr"&gt;Nouvelle-Zélande&lt;/Name&gt;&lt;/Member&gt;&lt;Member Code="NOR" HasOnlyUnitMetadata="false"&gt;&lt;Name LocaleIsoCode="en"&gt;Norway&lt;/Name&gt;&lt;Name LocaleIsoCode="fr"&gt;Norvège&lt;/Name&gt;&lt;/Member&gt;&lt;Member Code="POL" HasOnlyUnitMetadata="false"&gt;&lt;Name LocaleIsoCode="en"&gt;Poland&lt;/Name&gt;&lt;Name LocaleIsoCode="fr"&gt;Pologne&lt;/Name&gt;&lt;/Member&gt;&lt;Member Code="PRT" HasOnlyUnitMetadata="false"&gt;&lt;Name LocaleIsoCode="en"&gt;Portugal&lt;/Name&gt;&lt;Name LocaleIsoCode="fr"&gt;Portugal&lt;/Name&gt;&lt;/Member&gt;&lt;Member Code="SVK" HasOnlyUnitMetadata="false"&gt;&lt;Name LocaleIsoCode="en"&gt;Slovak Republic&lt;/Name&gt;&lt;Name LocaleIsoCode="fr"&gt;République slovaque&lt;/Name&gt;&lt;/Member&gt;&lt;Member Code="SVN" HasOnlyUnitMetadata="false"&gt;&lt;Name LocaleIsoCode="en"&gt;Slovenia&lt;/Name&gt;&lt;Name LocaleIsoCode="fr"&gt;Slovénie&lt;/Name&gt;&lt;/Member&gt;&lt;Member Code="ESP" HasOnlyUnitMetadata="false"&gt;&lt;Name LocaleIsoCode="en"&gt;Spain&lt;/Name&gt;&lt;Name LocaleIsoCode="fr"&gt;Espagne&lt;/Name&gt;&lt;/Member&gt;&lt;Member Code="SWE" HasOnlyUnitMetadata="false"&gt;&lt;Name LocaleIsoCode="en"&gt;Sweden&lt;/Name&gt;&lt;Name LocaleIsoCode="fr"&gt;Suède&lt;/Name&gt;&lt;/Member&gt;&lt;Member Code="CHE" HasOnlyUnitMetadata="false"&gt;&lt;Name LocaleIsoCode="en"&gt;Switzerland&lt;/Name&gt;&lt;Name LocaleIsoCode="fr"&gt;Suisse&lt;/Name&gt;&lt;/Member&gt;&lt;Member Code="TUR" HasOnlyUnitMetadata="false"&gt;&lt;Name LocaleIsoCode="en"&gt;Turkey&lt;/Name&gt;&lt;Name LocaleIsoCode="fr"&gt;Turquie&lt;/Name&gt;&lt;/Member&gt;&lt;Member Code="GBR" HasOnlyUnitMetadata="false"&gt;&lt;Name LocaleIsoCode="en"&gt;United Kingdom&lt;/Name&gt;&lt;Name LocaleIsoCode="fr"&gt;Royaume-Uni&lt;/Name&gt;&lt;/Member&gt;&lt;Member Code="USA" HasOnlyUnitMetadata="false"&gt;&lt;Name LocaleIsoCode="en"&gt;United States&lt;/Name&gt;&lt;Name LocaleIsoCode="fr"&gt;États-Unis&lt;/Name&gt;&lt;/Member&gt;&lt;Member Code="EA18" HasOnlyUnitMetadata="false"&gt;&lt;Name LocaleIsoCode="en"&gt;Euro area (18 countries)&lt;/Name&gt;&lt;Name LocaleIsoCode="fr"&gt;Zone euro (18 pays)&lt;/Name&gt;&lt;/Member&gt;&lt;Member Code="OECD" HasOnlyUnitMetadata="false"&gt;&lt;Name LocaleIsoCode="en"&gt;OECD - Total&lt;/Name&gt;&lt;Name LocaleIsoCode="fr"&gt;OCDE - Total&lt;/Name&gt;&lt;/Member&gt;&lt;/Dimension&gt;&lt;Dimension Code="TIME" CommonCode="TIME" Display="labels"&gt;&lt;Name LocaleIsoCode="en"&gt;Time&lt;/Name&gt;&lt;Name LocaleIsoCode="fr"&gt;Temps&lt;/Name&gt;&lt;Member Code="2009"&gt;&lt;Name LocaleIsoCode="en"&gt;2009&lt;/Name&gt;&lt;Name LocaleIsoCode="fr"&gt;2009&lt;/Name&gt;&lt;/Member&gt;&lt;Member Code="2010"&gt;&lt;Name LocaleIsoCode="en"&gt;2010&lt;/Name&gt;&lt;Name LocaleIsoCode="fr"&gt;2010&lt;/Name&gt;&lt;/Member&gt;&lt;Member Code="2011"&gt;&lt;Name LocaleIsoCode="en"&gt;2011&lt;/Name&gt;&lt;Name LocaleIsoCode="fr"&gt;2011&lt;/Name&gt;&lt;/Member&gt;&lt;Member Code="2012"&gt;&lt;Name LocaleIsoCode="en"&gt;2012&lt;/Name&gt;&lt;Name LocaleIsoCode="fr"&gt;2012&lt;/Name&gt;&lt;/Member&gt;&lt;Member Code="2013"&gt;&lt;Name LocaleIsoCode="en"&gt;2013&lt;/Name&gt;&lt;Name LocaleIsoCode="fr"&gt;2013&lt;/Name&gt;&lt;/Member&gt;&lt;Member Code="2014"&gt;&lt;Name LocaleIsoCode="en"&gt;2014&lt;/Name&gt;&lt;Name LocaleIsoCode="fr"&gt;2014&lt;/Name&gt;&lt;/Member&gt;&lt;Member Code="2015"&gt;&lt;Name LocaleIsoCode="en"&gt;2015&lt;/Name&gt;&lt;Name LocaleIsoCode="fr"&gt;2015&lt;/Name&gt;&lt;/Member&gt;&lt;Member Code="2016"&gt;&lt;Name LocaleIsoCode="en"&gt;2016&lt;/Name&gt;&lt;Name LocaleIsoCode="fr"&gt;2016&lt;/Name&gt;&lt;/Member&gt;&lt;/Dimension&gt;&lt;WBOSInformations&gt;&lt;TimeDimension WebTreeWasUsed="false"&gt;&lt;StartCodes Annual="2009" /&gt;&lt;/TimeDimension&gt;&lt;/WBOSInformations&gt;&lt;Tabulation Axis="horizontal"&gt;&lt;Dimension Code="INDIC" /&gt;&lt;Dimension Code="TIME" CommonCode="TIME" /&gt;&lt;Dimension xmlns="" Code="FAKEUNITDIM" /&gt;&lt;/Tabulation&gt;&lt;Tabulation Axis="vertical"&gt;&lt;Dimension Code="LOCATION" CommonCode="LOCATION" /&gt;&lt;/Tabulation&gt;&lt;Tabulation Axis="page" /&gt;&lt;Formatting&gt;&lt;Labels LocaleIsoCode="en" /&gt;&lt;Power&gt;0&lt;/Power&gt;&lt;Decimals&gt;-1&lt;/Decimals&gt;&lt;SkipEmptyLines&gt;false&lt;/SkipEmptyLines&gt;&lt;SkipEmptyCols&gt;true&lt;/SkipEmptyCols&gt;&lt;SkipLineHierarchy&gt;false&lt;/SkipLineHierarchy&gt;&lt;SkipColHierarchy&gt;false&lt;/SkipColHierarchy&gt;&lt;Page&gt;1&lt;/Page&gt;&lt;/Formatting&gt;&lt;/DataTable&gt;&lt;Format&gt;&lt;ShowEmptyAxes&gt;true&lt;/ShowEmptyAxes&gt;&lt;Page&gt;1&lt;/Page&gt;&lt;EnableSort&gt;true&lt;/EnableSort&gt;&lt;IncludeFlagColumn&gt;false&lt;/IncludeFlagColumn&gt;&lt;IncludeTimeSeriesId&gt;false&lt;/IncludeTimeSeriesId&gt;&lt;DoBarChart&gt;false&lt;/DoBarChart&gt;&lt;FreezePanes&gt;true&lt;/FreezePanes&gt;&lt;MaxBarChartLen&gt;65&lt;/MaxBarChartLen&gt;&lt;/Format&gt;&lt;Query&gt;&lt;AbsoluteUri&gt;http://stats.oecd.org//View.aspx?QueryId=25900&amp;amp;QueryType=Public&amp;amp;Lang=en&lt;/AbsoluteUri&gt;&lt;/Query&gt;&lt;/WebTableParameter&gt;</t>
  </si>
  <si>
    <t>Dataset: Purchasing Power Parities for GDP and related indicators</t>
  </si>
  <si>
    <t>Indicator</t>
  </si>
  <si>
    <t>Purchasing Power Parities for GDP</t>
  </si>
  <si>
    <t>Purchasing Power Parities</t>
  </si>
  <si>
    <t>Comparative Price Levels</t>
  </si>
  <si>
    <t>Time</t>
  </si>
  <si>
    <t>2009</t>
  </si>
  <si>
    <t>2010</t>
  </si>
  <si>
    <t>2011</t>
  </si>
  <si>
    <t>2012</t>
  </si>
  <si>
    <t>2013</t>
  </si>
  <si>
    <t>2014</t>
  </si>
  <si>
    <t>2015</t>
  </si>
  <si>
    <t>2016</t>
  </si>
  <si>
    <t>Unit</t>
  </si>
  <si>
    <t>National currency per US dollar</t>
  </si>
  <si>
    <t>OECD=100</t>
  </si>
  <si>
    <t>Country</t>
  </si>
  <si>
    <t/>
  </si>
  <si>
    <t>Germany</t>
  </si>
  <si>
    <t>United Kingdom</t>
  </si>
  <si>
    <t>United States</t>
  </si>
  <si>
    <t>Euro area (18 countries)</t>
  </si>
  <si>
    <t>Data extracted on 27 Jun 2017 11:45 UTC (GMT) from OECD.Stat</t>
  </si>
  <si>
    <t>Costs in 2017</t>
  </si>
  <si>
    <t>Cost in Euros in 2017</t>
  </si>
  <si>
    <t>Cost in GBP in 2017</t>
  </si>
  <si>
    <t>PPP in 2017</t>
  </si>
  <si>
    <r>
      <t>1</t>
    </r>
    <r>
      <rPr>
        <sz val="11"/>
        <color theme="1"/>
        <rFont val="Calibri"/>
        <family val="2"/>
      </rPr>
      <t xml:space="preserve">€ in DE = ₤0.8915 </t>
    </r>
  </si>
  <si>
    <t>Inflation rate=3.5%</t>
  </si>
  <si>
    <t>GA03A</t>
  </si>
  <si>
    <t>Very Complex Open Hepatobiliary or Pancreatic Procedures, with CC</t>
  </si>
  <si>
    <t>No</t>
  </si>
  <si>
    <t>GA03B</t>
  </si>
  <si>
    <t>Very Complex Open Hepatobiliary or Pancreatic Procedures, without CC</t>
  </si>
  <si>
    <t>GA04A</t>
  </si>
  <si>
    <t>Complex Open Hepatobiliary or Pancreatic Procedures, with CC</t>
  </si>
  <si>
    <t>GA04B</t>
  </si>
  <si>
    <t>Complex Open Hepatobiliary or Pancreatic Procedures, without CC</t>
  </si>
  <si>
    <t>GA05A</t>
  </si>
  <si>
    <t>Very Major Open Hepatobiliary or Pancreatic Procedures, with CC</t>
  </si>
  <si>
    <t>GA05B</t>
  </si>
  <si>
    <t>Very Major Open Hepatobiliary or Pancreatic Procedures, without CC</t>
  </si>
  <si>
    <t>GA06A</t>
  </si>
  <si>
    <t>Major Open Hepatobiliary or Pancreatic Procedures, with CC</t>
  </si>
  <si>
    <t>GA06B</t>
  </si>
  <si>
    <t>Major Open Hepatobiliary or Pancreatic Procedures, without CC</t>
  </si>
  <si>
    <t>GA07A</t>
  </si>
  <si>
    <t>Intermediate Open Hepatobiliary or Pancreatic Procedures, with CC</t>
  </si>
  <si>
    <t>GA07B</t>
  </si>
  <si>
    <t>Intermediate Open Hepatobiliary or Pancreatic Procedures, without CC</t>
  </si>
  <si>
    <t>HRG code</t>
  </si>
  <si>
    <t>HRG name</t>
  </si>
  <si>
    <t>Outpatient procedure tariff (£)</t>
  </si>
  <si>
    <t>Combined day case / ordinary elective spell tariff (£)</t>
  </si>
  <si>
    <t>Day case spell tariff (£)</t>
  </si>
  <si>
    <t>Ordinary elective spell tariff (£)</t>
  </si>
  <si>
    <t>Ordinary elective long stay trimpoint (days)</t>
  </si>
  <si>
    <t>Non-elective spell tariff (£)</t>
  </si>
  <si>
    <t>Non-elective long stay trimpoint (days)</t>
  </si>
  <si>
    <t>Per day long stay payment (for days exceeding trimpoint) (£)</t>
  </si>
  <si>
    <t>Reduced short stay emergency tariff 
applicable?</t>
  </si>
  <si>
    <t xml:space="preserve">% applied in calculation of reduced short stay emergency tariff </t>
  </si>
  <si>
    <r>
      <t xml:space="preserve">Reduced short stay emergency tariff (£) </t>
    </r>
    <r>
      <rPr>
        <b/>
        <sz val="8"/>
        <color rgb="FFFF0000"/>
        <rFont val="Arial"/>
        <family val="2"/>
      </rPr>
      <t>*</t>
    </r>
  </si>
  <si>
    <t>HRGs within scope of BPTs?
(if '1' see 'BPTs' sheet)</t>
  </si>
  <si>
    <t>BPT applies at HRG level , sub-HRG level or other basis?</t>
  </si>
  <si>
    <t>DOI 10.1007/s00464-012-2779-1</t>
  </si>
  <si>
    <t>Consumable costs</t>
  </si>
  <si>
    <t>Equipment costs for the LiMAx test</t>
  </si>
  <si>
    <t>Additional staff time costs due to using LiMAx testing</t>
  </si>
  <si>
    <t>Total liver surgery episodes</t>
  </si>
  <si>
    <t>Number of people having a postoperative liver failure</t>
  </si>
  <si>
    <t>Costs of treating liver surgery with PHLF</t>
  </si>
  <si>
    <t>Cost of treating liver surgery without PHLF</t>
  </si>
  <si>
    <t>Sum £</t>
  </si>
  <si>
    <t>Costs of technology adoption</t>
  </si>
  <si>
    <t xml:space="preserve">Treatment cost if developing PHLF </t>
  </si>
  <si>
    <t xml:space="preserve">Treatment cost without PHLF </t>
  </si>
  <si>
    <t>Accommmodation</t>
  </si>
  <si>
    <t>Ward</t>
  </si>
  <si>
    <t>ICU</t>
  </si>
  <si>
    <t>Dialysis</t>
  </si>
  <si>
    <t>Treatment procedure</t>
  </si>
  <si>
    <t>Surgery</t>
  </si>
  <si>
    <t>Anesthesia</t>
  </si>
  <si>
    <t>Endoscopy</t>
  </si>
  <si>
    <t>Radiology</t>
  </si>
  <si>
    <t xml:space="preserve">Lab </t>
  </si>
  <si>
    <t>Others</t>
  </si>
  <si>
    <t>Percentage of total costs</t>
  </si>
  <si>
    <t>Cost of PHLF</t>
  </si>
  <si>
    <t>Current practice-cost of treating PHLF</t>
  </si>
  <si>
    <t>Future practice-cost of treating PHLF</t>
  </si>
  <si>
    <t>Cost for selected population using  literature based assumptions</t>
  </si>
  <si>
    <t>Net resource impact per operation</t>
  </si>
  <si>
    <t>Baseline value</t>
  </si>
  <si>
    <t>Minimum value</t>
  </si>
  <si>
    <t>Maximum value</t>
  </si>
  <si>
    <t>Baseline costs (£)</t>
  </si>
  <si>
    <t>Minimum costs (£)</t>
  </si>
  <si>
    <t>Maximum costs (£)</t>
  </si>
  <si>
    <t>Table 1. Individual variable sensitivity</t>
  </si>
  <si>
    <t>Recurrent costs</t>
  </si>
  <si>
    <t>Change (£)</t>
  </si>
  <si>
    <t>Sensitivity analysis</t>
  </si>
  <si>
    <t>Table 1 shows the sensitivity of the total cost of implementation to changes in each variable individually.</t>
  </si>
  <si>
    <t>Cost of regular recovery</t>
  </si>
  <si>
    <t>Number of people having post-hepatectomy liver failure (PHLF)</t>
  </si>
  <si>
    <t>Cost of treating PHLF patient</t>
  </si>
  <si>
    <t>Cost of liver surgery with regular recovery</t>
  </si>
  <si>
    <t>ICU bed days</t>
  </si>
  <si>
    <t xml:space="preserve">Introduction </t>
  </si>
  <si>
    <t>Medical technologies guidance is designed to help the NHS adopt efficient and cost effective medical devices more rapidly and consistently. The types of products that might be evaluated are medical devices that deliver treatment, such as those implanted during surgical procedures, technologies that give greater independence to patients, and diagnostic devices or tests used to detect or monitor medical conditions.</t>
  </si>
  <si>
    <t>This document supports the implementation of the guidance.</t>
  </si>
  <si>
    <t>The costing template can be used to estimate the local cost and saving implications of implementing the guidance. By varying the assumptions and feeding in data that reflect local circumstances, the local estimated cost and saving implications can be calculated. The national costing report illustrates the broader implications for the NHS. It is derived from the same template, but using national data. A summary for each of these reports is shown below.</t>
  </si>
  <si>
    <t>Background of this medical technology guidance</t>
  </si>
  <si>
    <t xml:space="preserve">Coronary artery disease is a common cause of symptoms, disability and death. It is caused by atherosclerosis, which leads to stenosis or occlusion of the coronary arteries. NICE clinical guideline 126 'Management of stable angina' recommends that revascularisation of the blocked coronary arteries using coronary artery bypass graft (CABG) or percutaneous coronary intervention should be considered in people whose symptoms are not satisfactorily controlled with optimal medical treatment.
</t>
  </si>
  <si>
    <t>CABG aims to bypass narrowed or blocked segments of the coronary arteries using grafts – usually lengths of the patient’s own long saphenous vein from the leg or their internal thoracic artery, although other vessels are also used.
Cardiac surgeons use a variety of techniques to avoid imperfections during CABG, but assessment of graft flow is usually subjective. Techniques used vary according to the graft constructed, the surgical technique, and the surgeon’s individual preference. They include the surgeon assessing resistance and perfusion beyond a graft by flushing fluid through it before restoring flow, and both observing and palpating grafts for pulsation when blood flow has been re-established.</t>
  </si>
  <si>
    <t xml:space="preserve">The VeriQ system (MediStim ASA) uses ultrasound for the non-invasive assessment of graft blood flow during CABG surgery. It is intended for use in patients with coronary artery disease who are having CABG surgery.    
 </t>
  </si>
  <si>
    <t>The claimed benefits of the VeriQ system in the case for adoption presented by the manufacturer are:
• improved outcomes of revascularisation procedures by reducing the risk of early graft failure and adverse events 
• reduced hospital stay for some patients by reducing the incidence of complications during and after surgery 
• reduced number of repeat procedures and treatments for post-operative complications.</t>
  </si>
  <si>
    <t xml:space="preserve">Guidance </t>
  </si>
  <si>
    <t xml:space="preserve">1.1 The case for adopting the VeriQ system in the NHS for assessing graft flow during coronary artery bypass graft (CABG) surgery is supported by the evidence. The evidence suggests that intra-operative transit time flow measurement is effective in detecting imperfections that may be corrected by graft revision. This may reduce the incidence of graft occlusion and may reduce perioperative morbidity and mortality.
1.2 The VeriQ system is associated with an estimated cost saving of £115 per patient compared with clinical assessment, when it is used routinely for assessing coronary artery bypass grafts during surgery.
</t>
  </si>
  <si>
    <t>Costing summary</t>
  </si>
  <si>
    <t>The annual saving associated with implementing this guidance is estimated as £1.4 million for the total population of England, based on the standard assumptions in the model.</t>
  </si>
  <si>
    <t>Cost of implementation for the total population of England - NICE assumptions</t>
  </si>
  <si>
    <t>Cost /               -saving  (£)</t>
  </si>
  <si>
    <t>Additional cost of equipment and surgery time due to using VeriQ</t>
  </si>
  <si>
    <t>Savings due to reduction in adverse events</t>
  </si>
  <si>
    <t>Total cost / -saving</t>
  </si>
  <si>
    <t>Total cost / -saving per procedure</t>
  </si>
  <si>
    <t>The average cost saving per procedure calculated in this template is £147, which is higher than the £115 calculated in the clinical and economic external assessment centre report. The calculations in this template use more recent figures for hospital activity and, if available, national tariff rather than reference costs for the unit costs of adverse events. Users are advised to check the assumptions made against the latest local information available when using the costing template.</t>
  </si>
  <si>
    <t xml:space="preserve">After adapting the assumptions in the costing template to reflect local circumstances and selecting the local population, the estimated cost of fully implementing this recommendation locally is summarised below. </t>
  </si>
  <si>
    <t>Unless a  population is selected in sheet 4 'Population selection', the default population used is 1,000,000.</t>
  </si>
  <si>
    <t>Cost of implementation for selected population - local assumptions</t>
  </si>
  <si>
    <t xml:space="preserve">Summary of sensitivity analysis </t>
  </si>
  <si>
    <t>The variables to which the model is most sensitive are:</t>
  </si>
  <si>
    <t xml:space="preserve">• </t>
  </si>
  <si>
    <t>The savings identified are most sensitive to the cost of intra-aortic balloon pumping and the reduction in occurrence of intra-aortic balloon pumping following use of VeriQ. The sensitivity analysis shows that varying these inputs has the largest effect on the overall cost savings, however, it should be noted that even in the worst case identified in the sensitivity analysis, the use of VeriQ is still expected to be cost saving.</t>
  </si>
  <si>
    <t>The level of savings is directly affected by the total number of CABG procedures taking place in a year and the proportion of procedures for which the device is used. If VeriQ is not used for all procedures, the maximum benefit will not be achieved and therefore savings are reduced. This assumption should be amended on sheet 6 to reflect local circumstances.</t>
  </si>
  <si>
    <t>Other considerations</t>
  </si>
  <si>
    <t>There may be additional indications for which the VeriQ device can be used such as valve repairs or in transplants, which could reduce the capital cost per procedure, however, these uses have not been considered in the guidance or costing template.</t>
  </si>
  <si>
    <t>The number of cardiac centres purchasing VeriQ following publication of this guidance is very difficult to predict as it will largely be down to the views of clinicians and managers locally. It is estimated that nationally, 50% of CABG procedures will use VeriQ following publication of this guidance. This should be adapted for local use.</t>
  </si>
  <si>
    <t>Purchase of VeriQ would need a capital investment which is not quantified in this template as it is included in the average cost of a CABG procedure used. However given the purchase price of £32,000 this is simple to calculate for any locality. There is also the option to lease the equipment.</t>
  </si>
  <si>
    <t>Savings and benefits</t>
  </si>
  <si>
    <t>The costing model does not include potential cost savings from reductions in the length of intensive therapy unit stay, reduced readmission rates or emergency repeated CABG procedures. This is due to the difficulty of quantifying the savings associated with use of VeriQ. The cost savings associated with the VeriQ system may therefore have been underestimated with regard to these parameters.</t>
  </si>
  <si>
    <t>The model assumes 220 procedures per device per year which is a conservative estimate of use. Depending on local set ups, this may be a significant underestimate, therefore the additional costs per procedure due to using VeriQ may have been overestimated. This can be investigated further in the sensitivity analysis.</t>
  </si>
  <si>
    <t>Further savings may be seen through a reduction in the number of excess bed days incurred by CABG patients. Again, these have not been quantified in this template as the exact effect of VeriQ on excess bed days is not known.</t>
  </si>
  <si>
    <t>The assumptions made on the number of adverse events following CABG are based on the assumptions used in the guidance. Sections 3.15 and 5.11 of the guidance recognises that this may be an over estimate of the reduction in adverse events, this is explored further in the sensitivity analysis.</t>
  </si>
  <si>
    <t>Implications for commissioners</t>
  </si>
  <si>
    <t>The VeriQ system falls within the programme budgeting category 210A 'Problems of circulation – coronary heart disease'.</t>
  </si>
  <si>
    <t>Not all acute centres provide cardiac surgery, and therefore there may be several commissioners per cardiac surgery centre.</t>
  </si>
  <si>
    <t>Some of the benefits discussed in this costing report may not have a direct effect on commissioning organisations because they relate to a range of hospital costs which may all be covered under a single healthcare resource group (HRG). Although such savings are more applicable to providers, in the longer term, they may benefit commissioners through a reduction in reference costs and future national tariffs.</t>
  </si>
  <si>
    <t xml:space="preserve">Costing report: the LiMAx test for assessing liver function before and after liver surgery 
</t>
  </si>
  <si>
    <t>Total cost per procedure</t>
  </si>
  <si>
    <t>Total number of the LiMAx procedures per operation</t>
  </si>
  <si>
    <t>2014/15 Patient Level Costing and Information Systems (PLICS) data collection summary: summary statistics on Total Cost by HRG, Point of Delivery</t>
  </si>
  <si>
    <t>2014/15 Reference Cost Grouper - FCE HRG</t>
  </si>
  <si>
    <t>HRG Description</t>
  </si>
  <si>
    <t>POD</t>
  </si>
  <si>
    <t>POD Description</t>
  </si>
  <si>
    <t>Finished Consultant Episode (FCE) count</t>
  </si>
  <si>
    <t>% of total cases</t>
  </si>
  <si>
    <t>Avg Finished Consultant Episode cost</t>
  </si>
  <si>
    <t>Standard Deviation</t>
  </si>
  <si>
    <t>Minimum</t>
  </si>
  <si>
    <t>25th percentile</t>
  </si>
  <si>
    <t>Median</t>
  </si>
  <si>
    <t>75th percentile</t>
  </si>
  <si>
    <t>Maximum</t>
  </si>
  <si>
    <t>Relative Standard Deviation</t>
  </si>
  <si>
    <t>Average of Trust-level Relative Standard Deviation</t>
  </si>
  <si>
    <t>GA03C</t>
  </si>
  <si>
    <t>Very Complex Open, Hepatobiliary or Pancreatic Procedures, with CC Score 4+</t>
  </si>
  <si>
    <t>EL</t>
  </si>
  <si>
    <t>Elective</t>
  </si>
  <si>
    <t>NE</t>
  </si>
  <si>
    <t>Non Elective</t>
  </si>
  <si>
    <t>GA03D</t>
  </si>
  <si>
    <t>Very Complex Open, Hepatobiliary or Pancreatic Procedures, with CC Score 2-3</t>
  </si>
  <si>
    <t>GA03E</t>
  </si>
  <si>
    <t>Very Complex Open, Hepatobiliary or Pancreatic Procedures, with CC Score 0-1</t>
  </si>
  <si>
    <t>DC</t>
  </si>
  <si>
    <t>Day Case</t>
  </si>
  <si>
    <t>GA04C</t>
  </si>
  <si>
    <t>Complex Open, Hepatobiliary or Pancreatic Procedures, with CC Score 3+</t>
  </si>
  <si>
    <t>GA04D</t>
  </si>
  <si>
    <t>Complex Open, Hepatobiliary or Pancreatic Procedures, with CC Score 0-2</t>
  </si>
  <si>
    <t>.</t>
  </si>
  <si>
    <t>GA05C</t>
  </si>
  <si>
    <t>Very Major Open, Hepatobiliary or Pancreatic Procedures, with CC Score 3+</t>
  </si>
  <si>
    <t>GA05D</t>
  </si>
  <si>
    <t>Very Major Open, Hepatobiliary or Pancreatic Procedures, with CC Score 0-2</t>
  </si>
  <si>
    <t>GA06C</t>
  </si>
  <si>
    <t>Major Open, Hepatobiliary or Pancreatic Procedures, with CC Score 2+</t>
  </si>
  <si>
    <t>GA06D</t>
  </si>
  <si>
    <t>Major Open, Hepatobiliary or Pancreatic Procedures, with CC Score 0-1</t>
  </si>
  <si>
    <t>GA07C</t>
  </si>
  <si>
    <t>Intermediate Open, Hepatobiliary or Pancreatic Procedures, with CC Score 3+</t>
  </si>
  <si>
    <t>GA07D</t>
  </si>
  <si>
    <t>Intermediate Open, Hepatobiliary or Pancreatic Procedures, with CC Score 1-2</t>
  </si>
  <si>
    <t>GA07E</t>
  </si>
  <si>
    <t>Intermediate Open, Hepatobiliary or Pancreatic Procedures, with CC Score 0</t>
  </si>
  <si>
    <t>Local FCE</t>
  </si>
  <si>
    <t>Base case</t>
  </si>
  <si>
    <t>Base case FCE</t>
  </si>
  <si>
    <t>Local finished episode count (base case)</t>
  </si>
  <si>
    <t>Local finished episode count (local case)</t>
  </si>
  <si>
    <t>Total costs (base case)</t>
  </si>
  <si>
    <t>Total costs (local case)</t>
  </si>
  <si>
    <t>Total Finished Consultant Episode cost (base case)</t>
  </si>
  <si>
    <t>Total Finished Consultant Episode cost (local case)</t>
  </si>
  <si>
    <t>Treatment cost if developing PHLF (base case)</t>
  </si>
  <si>
    <t>Additional treatment costs for PHLF</t>
  </si>
  <si>
    <t>2014/15 Patient Level Costing and Information Systems (PLICS) data collection summary: average cost pool by HRG and Point of Delivery</t>
  </si>
  <si>
    <t>Average Finished Consultant Episode cost - cost pool breakdown:</t>
  </si>
  <si>
    <t>Sum of 1 to 27</t>
  </si>
  <si>
    <t>No. of Providers Submitted</t>
  </si>
  <si>
    <t>Avg FCE LOS (Days)</t>
  </si>
  <si>
    <t>FCEs with theatre time recorded</t>
  </si>
  <si>
    <t>Avg theatre time (Minutes) (where recorded)</t>
  </si>
  <si>
    <t>FCEs with critical care LOS recorded</t>
  </si>
  <si>
    <t>Avg critical care LOS (Hours) (where recorded)</t>
  </si>
  <si>
    <t>FCEs with endoscopy time (Minutes) recorded</t>
  </si>
  <si>
    <t>Avg endoscopy time (Minutes) (where recorded)</t>
  </si>
  <si>
    <t>Blood and Blood Products</t>
  </si>
  <si>
    <t>CNST</t>
  </si>
  <si>
    <t>Critical Care</t>
  </si>
  <si>
    <t>High Cost Drugs</t>
  </si>
  <si>
    <t xml:space="preserve">Chemotherapy Drugs </t>
  </si>
  <si>
    <t>All Other Drugs</t>
  </si>
  <si>
    <t>Emergency Department</t>
  </si>
  <si>
    <t>Imaging - Medical Staffing</t>
  </si>
  <si>
    <t>Imaging - All Other Costs</t>
  </si>
  <si>
    <t>Medical Staffing (excluding Imaging, Pathology &amp; Other Diagnostics)</t>
  </si>
  <si>
    <t>Operating Theatres</t>
  </si>
  <si>
    <t>Other Clinical Supplies and Services</t>
  </si>
  <si>
    <t>Other Diagnostics Tests -  Medical Staffing</t>
  </si>
  <si>
    <t>Other Diagnostics Tests- All Other Costs</t>
  </si>
  <si>
    <t>Outpatients</t>
  </si>
  <si>
    <t>Pathology- Medical Staffing</t>
  </si>
  <si>
    <t>Pathology- All Other Costs</t>
  </si>
  <si>
    <t>Pharmacy Services</t>
  </si>
  <si>
    <t>Prostheses/Implants/Devices</t>
  </si>
  <si>
    <t>Radiotherapy</t>
  </si>
  <si>
    <t>Secondary Commissioning Costs</t>
  </si>
  <si>
    <t>Specialist Procedure Suites excluding Endoscopy Units</t>
  </si>
  <si>
    <t>Specialist Procedure Suite - Endoscopy Units Only</t>
  </si>
  <si>
    <t>Specialist Nursing Staff</t>
  </si>
  <si>
    <t>Therapies</t>
  </si>
  <si>
    <t>Wards</t>
  </si>
  <si>
    <t>Overheads</t>
  </si>
  <si>
    <t>NULL</t>
  </si>
  <si>
    <t>GA13A</t>
  </si>
  <si>
    <t>Minor Open or Laparoscopic, Hepatobiliary or Pancreatic Procedures, with CC Score 1+</t>
  </si>
  <si>
    <t>GA13B</t>
  </si>
  <si>
    <t>Minor Open or Laparoscopic, Hepatobiliary or Pancreatic Procedures, with CC Score 0</t>
  </si>
  <si>
    <t>RP</t>
  </si>
  <si>
    <t>Regular Day/Night Attendence</t>
  </si>
  <si>
    <t>GB04D</t>
  </si>
  <si>
    <t>Minor, Endoscopic or Percutaneous, Hepatobiliary or Pancreatic Procedures, 19 years and over</t>
  </si>
  <si>
    <r>
      <t xml:space="preserve">Current practice-cost of liver surgery </t>
    </r>
    <r>
      <rPr>
        <b/>
        <sz val="11"/>
        <color rgb="FFFF0000"/>
        <rFont val="Arial"/>
        <family val="2"/>
      </rPr>
      <t>without</t>
    </r>
    <r>
      <rPr>
        <b/>
        <sz val="11"/>
        <rFont val="Arial"/>
        <family val="2"/>
      </rPr>
      <t xml:space="preserve"> PHLF</t>
    </r>
  </si>
  <si>
    <r>
      <t xml:space="preserve">Future practice-cost of liver surgery </t>
    </r>
    <r>
      <rPr>
        <b/>
        <sz val="11"/>
        <color rgb="FFFF0000"/>
        <rFont val="Arial"/>
        <family val="2"/>
      </rPr>
      <t>without</t>
    </r>
    <r>
      <rPr>
        <b/>
        <sz val="11"/>
        <rFont val="Arial"/>
        <family val="2"/>
      </rPr>
      <t xml:space="preserve"> PHLF</t>
    </r>
  </si>
  <si>
    <t>Cost of adopting LiMAx</t>
  </si>
  <si>
    <t>Costs of performing LiMAx procedures</t>
  </si>
  <si>
    <t>Sub-total</t>
  </si>
  <si>
    <t>Cost-saving of avoiding PHLF</t>
  </si>
  <si>
    <t>Savings</t>
  </si>
  <si>
    <t>Total cost-saving</t>
  </si>
  <si>
    <t xml:space="preserve">Life time of the equipment </t>
  </si>
  <si>
    <t>Cost breakdown- selected population using  literature based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</si>
</sst>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4" formatCode="_-* #,##0.00\ &quot;€&quot;_-;\-* #,##0.00\ &quot;€&quot;_-;_-* &quot;-&quot;??\ &quot;€&quot;_-;_-@_-"/>
    <numFmt numFmtId="43" formatCode="_-* #,##0.00\ _€_-;\-* #,##0.00\ _€_-;_-* &quot;-&quot;??\ _€_-;_-@_-"/>
    <numFmt numFmtId="164" formatCode="&quot;£&quot;#,##0.00"/>
    <numFmt numFmtId="165" formatCode="_-* #,##0.00_-;\-* #,##0.00_-;_-* &quot;-&quot;??_-;_-@_-"/>
    <numFmt numFmtId="166" formatCode="_-* #,##0_-;\-* #,##0_-;_-* &quot;-&quot;??_-;_-@_-"/>
    <numFmt numFmtId="167" formatCode="&quot;£&quot;#,##0"/>
    <numFmt numFmtId="168" formatCode="0.0"/>
    <numFmt numFmtId="169" formatCode="&quot;£&quot;#,##0;[Red]\-&quot;£&quot;#,##0"/>
    <numFmt numFmtId="170" formatCode="_-[$£-809]* #,##0_-;\-[$£-809]* #,##0_-;_-[$£-809]* &quot;-&quot;??_-;_-@_-"/>
    <numFmt numFmtId="171" formatCode="_-* #,##0\ [$€-407]_-;\-* #,##0\ [$€-407]_-;_-* &quot;-&quot;??\ [$€-407]_-;_-@_-"/>
    <numFmt numFmtId="172" formatCode="_-* #,##0\ &quot;€&quot;_-;\-* #,##0\ &quot;€&quot;_-;_-* &quot;-&quot;??\ &quot;€&quot;_-;_-@_-"/>
    <numFmt numFmtId="173" formatCode="#,##0_ ;\-#,##0\ "/>
    <numFmt numFmtId="174" formatCode="#,##0;\-#,##0;&quot;&quot;"/>
    <numFmt numFmtId="175" formatCode="0%;\-0%;\-"/>
    <numFmt numFmtId="176" formatCode="#,##0_ ;\-#,##0;\-"/>
    <numFmt numFmtId="177" formatCode="_-[$£-809]* #,##0.00_-;\-[$£-809]* #,##0.00_-;_-[$£-809]* &quot;-&quot;??_-;_-@_-"/>
    <numFmt numFmtId="178" formatCode="#,##0_ ;[Red]\-#,##0\ "/>
    <numFmt numFmtId="179" formatCode="0.0%"/>
    <numFmt numFmtId="182" formatCode="_-* #,##0\ _€_-;\-* #,##0\ _€_-;_-* &quot;-&quot;??\ _€_-;_-@_-"/>
  </numFmts>
  <fonts count="48"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b/>
      <sz val="16"/>
      <name val="Arial"/>
      <family val="2"/>
    </font>
    <font>
      <b/>
      <sz val="14"/>
      <color theme="1"/>
      <name val="Arial"/>
      <family val="2"/>
    </font>
    <font>
      <u/>
      <sz val="11"/>
      <color theme="10"/>
      <name val="Calibri"/>
      <family val="2"/>
    </font>
    <font>
      <sz val="10"/>
      <name val="Arial"/>
      <family val="2"/>
    </font>
    <font>
      <sz val="11"/>
      <name val="Arial"/>
      <family val="2"/>
    </font>
    <font>
      <i/>
      <sz val="11"/>
      <color theme="10"/>
      <name val="Arial"/>
      <family val="2"/>
    </font>
    <font>
      <b/>
      <sz val="11"/>
      <name val="Arial"/>
      <family val="2"/>
    </font>
    <font>
      <b/>
      <u/>
      <sz val="11"/>
      <name val="Arial"/>
      <family val="2"/>
    </font>
    <font>
      <u/>
      <sz val="11"/>
      <name val="Arial"/>
      <family val="2"/>
    </font>
    <font>
      <b/>
      <sz val="11"/>
      <name val="Calibri"/>
      <family val="2"/>
    </font>
    <font>
      <sz val="12"/>
      <color theme="1"/>
      <name val="Calibri"/>
      <family val="2"/>
      <scheme val="minor"/>
    </font>
    <font>
      <b/>
      <sz val="12"/>
      <name val="Arial"/>
      <family val="2"/>
    </font>
    <font>
      <sz val="11"/>
      <color indexed="17"/>
      <name val="Arial"/>
      <family val="2"/>
    </font>
    <font>
      <u/>
      <sz val="10"/>
      <color indexed="12"/>
      <name val="Arial"/>
      <family val="2"/>
    </font>
    <font>
      <b/>
      <u/>
      <sz val="11"/>
      <color indexed="12"/>
      <name val="Arial"/>
      <family val="2"/>
    </font>
    <font>
      <b/>
      <sz val="11"/>
      <color theme="1"/>
      <name val="Arial"/>
      <family val="2"/>
    </font>
    <font>
      <sz val="9"/>
      <color indexed="81"/>
      <name val="Tahoma"/>
      <family val="2"/>
    </font>
    <font>
      <b/>
      <sz val="9"/>
      <color indexed="81"/>
      <name val="Tahoma"/>
      <family val="2"/>
    </font>
    <font>
      <b/>
      <u/>
      <sz val="11"/>
      <color theme="1"/>
      <name val="Arial"/>
      <family val="2"/>
    </font>
    <font>
      <b/>
      <sz val="11"/>
      <color indexed="8"/>
      <name val="Arial"/>
      <family val="2"/>
    </font>
    <font>
      <u/>
      <sz val="11"/>
      <color theme="1"/>
      <name val="Arial"/>
      <family val="2"/>
    </font>
    <font>
      <u/>
      <sz val="11"/>
      <color theme="10"/>
      <name val="Arial"/>
      <family val="2"/>
    </font>
    <font>
      <i/>
      <u/>
      <sz val="11"/>
      <color theme="10"/>
      <name val="Arial"/>
      <family val="2"/>
    </font>
    <font>
      <sz val="10"/>
      <name val="Arial"/>
      <family val="2"/>
    </font>
    <font>
      <sz val="8"/>
      <name val="Arial"/>
      <family val="2"/>
    </font>
    <font>
      <b/>
      <u/>
      <sz val="9"/>
      <color indexed="18"/>
      <name val="Verdana"/>
      <family val="2"/>
    </font>
    <font>
      <b/>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
      <sz val="11"/>
      <color theme="1"/>
      <name val="Calibri"/>
      <family val="2"/>
    </font>
    <font>
      <b/>
      <sz val="8"/>
      <color rgb="FFFF0000"/>
      <name val="Arial"/>
      <family val="2"/>
    </font>
    <font>
      <b/>
      <sz val="9"/>
      <name val="Arial"/>
      <family val="2"/>
    </font>
    <font>
      <sz val="9"/>
      <name val="Arial"/>
      <family val="2"/>
    </font>
    <font>
      <sz val="12"/>
      <name val="Arial"/>
      <family val="2"/>
    </font>
    <font>
      <i/>
      <sz val="12"/>
      <name val="Arial"/>
      <family val="2"/>
    </font>
    <font>
      <b/>
      <sz val="14"/>
      <name val="Arial"/>
      <family val="2"/>
    </font>
    <font>
      <sz val="12"/>
      <color indexed="17"/>
      <name val="Arial"/>
      <family val="2"/>
    </font>
    <font>
      <sz val="11"/>
      <color theme="0"/>
      <name val="Calibri"/>
      <family val="2"/>
      <scheme val="minor"/>
    </font>
    <font>
      <b/>
      <sz val="16"/>
      <color theme="1"/>
      <name val="Calibri"/>
      <family val="2"/>
      <scheme val="minor"/>
    </font>
    <font>
      <i/>
      <sz val="11"/>
      <color theme="1"/>
      <name val="Calibri"/>
      <family val="2"/>
      <scheme val="minor"/>
    </font>
    <font>
      <b/>
      <sz val="11"/>
      <color rgb="FFFF0000"/>
      <name val="Arial"/>
      <family val="2"/>
    </font>
  </fonts>
  <fills count="20">
    <fill>
      <patternFill patternType="none"/>
    </fill>
    <fill>
      <patternFill patternType="gray125"/>
    </fill>
    <fill>
      <patternFill patternType="solid">
        <fgColor theme="0" tint="-0.14999847407452621"/>
        <bgColor indexed="64"/>
      </patternFill>
    </fill>
    <fill>
      <patternFill patternType="solid">
        <fgColor rgb="FFCCFFFF"/>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99FF99"/>
        <bgColor indexed="64"/>
      </patternFill>
    </fill>
    <fill>
      <patternFill patternType="solid">
        <fgColor rgb="FFFFFF99"/>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indexed="9"/>
        <bgColor indexed="64"/>
      </patternFill>
    </fill>
    <fill>
      <patternFill patternType="solid">
        <fgColor indexed="41"/>
        <bgColor indexed="64"/>
      </patternFill>
    </fill>
    <fill>
      <patternFill patternType="solid">
        <fgColor theme="4" tint="-0.24994659260841701"/>
        <bgColor indexed="64"/>
      </patternFill>
    </fill>
    <fill>
      <patternFill patternType="solid">
        <fgColor theme="2"/>
        <bgColor indexed="64"/>
      </patternFill>
    </fill>
    <fill>
      <patternFill patternType="solid">
        <fgColor theme="6" tint="0.7999816888943144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rgb="FFFF0000"/>
      </left>
      <right style="thick">
        <color rgb="FFFF0000"/>
      </right>
      <top style="thick">
        <color rgb="FFFF0000"/>
      </top>
      <bottom style="thick">
        <color rgb="FFFF0000"/>
      </bottom>
      <diagonal/>
    </border>
    <border>
      <left/>
      <right/>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style="thick">
        <color rgb="FFFF0000"/>
      </left>
      <right style="thick">
        <color rgb="FFFF0000"/>
      </right>
      <top/>
      <bottom style="thick">
        <color rgb="FFFF0000"/>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diagonal/>
    </border>
    <border>
      <left/>
      <right style="thin">
        <color rgb="FFC0C0C0"/>
      </right>
      <top style="thin">
        <color rgb="FFC0C0C0"/>
      </top>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top/>
      <bottom/>
      <diagonal/>
    </border>
    <border>
      <left/>
      <right style="thin">
        <color rgb="FFC0C0C0"/>
      </right>
      <top/>
      <bottom/>
      <diagonal/>
    </border>
    <border>
      <left/>
      <right/>
      <top style="thin">
        <color rgb="FFC0C0C0"/>
      </top>
      <bottom/>
      <diagonal/>
    </border>
    <border>
      <left style="thin">
        <color rgb="FFC0C0C0"/>
      </left>
      <right/>
      <top/>
      <bottom style="thin">
        <color rgb="FFC0C0C0"/>
      </bottom>
      <diagonal/>
    </border>
    <border>
      <left/>
      <right style="thin">
        <color rgb="FFC0C0C0"/>
      </right>
      <top/>
      <bottom style="thin">
        <color rgb="FFC0C0C0"/>
      </bottom>
      <diagonal/>
    </border>
    <border>
      <left/>
      <right/>
      <top/>
      <bottom style="thin">
        <color rgb="FFC0C0C0"/>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theme="0"/>
      </left>
      <right style="medium">
        <color theme="0"/>
      </right>
      <top/>
      <bottom style="thin">
        <color theme="4" tint="-0.24994659260841701"/>
      </bottom>
      <diagonal/>
    </border>
    <border>
      <left style="mediumDashed">
        <color theme="0"/>
      </left>
      <right style="mediumDashed">
        <color theme="0"/>
      </right>
      <top/>
      <bottom style="thin">
        <color theme="4" tint="-0.24994659260841701"/>
      </bottom>
      <diagonal/>
    </border>
    <border>
      <left style="mediumDashed">
        <color theme="0"/>
      </left>
      <right style="mediumDashed">
        <color theme="0"/>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Dashed">
        <color theme="0"/>
      </left>
      <right style="mediumDashed">
        <color theme="0"/>
      </right>
      <top style="thin">
        <color theme="4" tint="-0.24994659260841701"/>
      </top>
      <bottom style="thin">
        <color theme="4" tint="-0.24994659260841701"/>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17" fillId="0" borderId="0" applyNumberFormat="0" applyFill="0" applyBorder="0" applyAlignment="0" applyProtection="0">
      <alignment vertical="top"/>
      <protection locked="0"/>
    </xf>
    <xf numFmtId="0" fontId="27" fillId="0" borderId="0"/>
    <xf numFmtId="0" fontId="7" fillId="0" borderId="0"/>
    <xf numFmtId="9" fontId="7" fillId="0" borderId="0" applyFont="0" applyFill="0" applyBorder="0" applyAlignment="0" applyProtection="0"/>
    <xf numFmtId="9" fontId="1" fillId="0" borderId="0" applyFont="0" applyFill="0" applyBorder="0" applyAlignment="0" applyProtection="0"/>
    <xf numFmtId="165" fontId="7" fillId="0" borderId="0" applyFont="0" applyFill="0" applyBorder="0" applyAlignment="0" applyProtection="0"/>
  </cellStyleXfs>
  <cellXfs count="459">
    <xf numFmtId="0" fontId="0" fillId="0" borderId="0" xfId="0"/>
    <xf numFmtId="0" fontId="3" fillId="0" borderId="0" xfId="0" applyFont="1" applyFill="1"/>
    <xf numFmtId="0" fontId="5" fillId="0" borderId="0" xfId="0" applyFont="1" applyFill="1"/>
    <xf numFmtId="0" fontId="3" fillId="2" borderId="0" xfId="0" applyFont="1" applyFill="1"/>
    <xf numFmtId="0" fontId="7" fillId="0" borderId="0" xfId="4" applyFont="1" applyFill="1"/>
    <xf numFmtId="0" fontId="8" fillId="0" borderId="0" xfId="4" applyFont="1" applyFill="1"/>
    <xf numFmtId="0" fontId="9" fillId="0" borderId="0" xfId="3" applyFont="1" applyFill="1" applyAlignment="1" applyProtection="1"/>
    <xf numFmtId="0" fontId="10" fillId="0" borderId="0" xfId="4" applyFont="1" applyFill="1"/>
    <xf numFmtId="0" fontId="8" fillId="0" borderId="0" xfId="4" applyFont="1" applyFill="1" applyAlignment="1">
      <alignment wrapText="1"/>
    </xf>
    <xf numFmtId="0" fontId="8" fillId="0" borderId="1" xfId="4" applyFont="1" applyFill="1" applyBorder="1" applyAlignment="1">
      <alignment wrapText="1"/>
    </xf>
    <xf numFmtId="0" fontId="10" fillId="0" borderId="1" xfId="4" applyFont="1" applyFill="1" applyBorder="1" applyAlignment="1">
      <alignment horizontal="center" wrapText="1"/>
    </xf>
    <xf numFmtId="0" fontId="10" fillId="0" borderId="1" xfId="4" applyFont="1" applyFill="1" applyBorder="1" applyAlignment="1">
      <alignment wrapText="1"/>
    </xf>
    <xf numFmtId="0" fontId="8" fillId="3" borderId="1" xfId="4" applyFont="1" applyFill="1" applyBorder="1"/>
    <xf numFmtId="164" fontId="10" fillId="0" borderId="1" xfId="4" applyNumberFormat="1" applyFont="1" applyFill="1" applyBorder="1"/>
    <xf numFmtId="0" fontId="8" fillId="0" borderId="0" xfId="4" applyFont="1" applyFill="1" applyBorder="1" applyAlignment="1">
      <alignment wrapText="1"/>
    </xf>
    <xf numFmtId="0" fontId="8" fillId="0" borderId="0" xfId="4" applyFont="1" applyFill="1" applyBorder="1"/>
    <xf numFmtId="164" fontId="10" fillId="0" borderId="0" xfId="4" applyNumberFormat="1" applyFont="1" applyFill="1" applyBorder="1"/>
    <xf numFmtId="0" fontId="8" fillId="0" borderId="2" xfId="4" applyFont="1" applyFill="1" applyBorder="1" applyAlignment="1">
      <alignment wrapText="1"/>
    </xf>
    <xf numFmtId="0" fontId="8" fillId="3" borderId="2" xfId="4" applyFont="1" applyFill="1" applyBorder="1"/>
    <xf numFmtId="0" fontId="8" fillId="0" borderId="2" xfId="4" applyFont="1" applyFill="1" applyBorder="1"/>
    <xf numFmtId="164" fontId="10" fillId="0" borderId="2" xfId="4" applyNumberFormat="1" applyFont="1" applyFill="1" applyBorder="1"/>
    <xf numFmtId="0" fontId="8" fillId="0" borderId="3" xfId="4" applyFont="1" applyFill="1" applyBorder="1" applyAlignment="1">
      <alignment wrapText="1"/>
    </xf>
    <xf numFmtId="0" fontId="8" fillId="0" borderId="3" xfId="4" applyFont="1" applyFill="1" applyBorder="1"/>
    <xf numFmtId="0" fontId="8" fillId="0" borderId="4" xfId="4" applyFont="1" applyFill="1" applyBorder="1"/>
    <xf numFmtId="164" fontId="10" fillId="0" borderId="3" xfId="4" applyNumberFormat="1" applyFont="1" applyFill="1" applyBorder="1"/>
    <xf numFmtId="0" fontId="10" fillId="0" borderId="5" xfId="4" applyFont="1" applyFill="1" applyBorder="1"/>
    <xf numFmtId="0" fontId="8" fillId="0" borderId="6" xfId="4" applyFont="1" applyFill="1" applyBorder="1"/>
    <xf numFmtId="164" fontId="10" fillId="0" borderId="7" xfId="4" applyNumberFormat="1" applyFont="1" applyFill="1" applyBorder="1"/>
    <xf numFmtId="0" fontId="3" fillId="0" borderId="1" xfId="0" applyFont="1" applyBorder="1" applyAlignment="1">
      <alignment horizontal="center" wrapText="1"/>
    </xf>
    <xf numFmtId="0" fontId="8" fillId="0" borderId="1" xfId="4" applyFont="1" applyFill="1" applyBorder="1" applyAlignment="1">
      <alignment horizontal="center" vertical="center"/>
    </xf>
    <xf numFmtId="0" fontId="8" fillId="0" borderId="1" xfId="4" applyFont="1" applyFill="1" applyBorder="1"/>
    <xf numFmtId="1" fontId="8" fillId="0" borderId="1" xfId="4" applyNumberFormat="1" applyFont="1" applyFill="1" applyBorder="1"/>
    <xf numFmtId="1" fontId="8" fillId="3" borderId="1" xfId="4" applyNumberFormat="1" applyFont="1" applyFill="1" applyBorder="1"/>
    <xf numFmtId="2" fontId="8" fillId="0" borderId="1" xfId="4" applyNumberFormat="1" applyFont="1" applyFill="1" applyBorder="1"/>
    <xf numFmtId="0" fontId="10" fillId="0" borderId="1" xfId="4" applyFont="1" applyFill="1" applyBorder="1"/>
    <xf numFmtId="2" fontId="10" fillId="0" borderId="1" xfId="4" applyNumberFormat="1" applyFont="1" applyFill="1" applyBorder="1"/>
    <xf numFmtId="0" fontId="11" fillId="0" borderId="0" xfId="4" applyFont="1" applyFill="1"/>
    <xf numFmtId="0" fontId="12" fillId="0" borderId="0" xfId="4" applyFont="1" applyFill="1"/>
    <xf numFmtId="0" fontId="8" fillId="0" borderId="8" xfId="4" applyFont="1" applyFill="1" applyBorder="1"/>
    <xf numFmtId="0" fontId="8" fillId="3" borderId="9" xfId="4" applyFont="1" applyFill="1" applyBorder="1"/>
    <xf numFmtId="0" fontId="14" fillId="0" borderId="0" xfId="0" applyFont="1"/>
    <xf numFmtId="43" fontId="14" fillId="0" borderId="0" xfId="1" applyFont="1" applyAlignment="1">
      <alignment horizontal="right"/>
    </xf>
    <xf numFmtId="0" fontId="14" fillId="0" borderId="0" xfId="0" applyFont="1" applyAlignment="1">
      <alignment horizontal="right"/>
    </xf>
    <xf numFmtId="165" fontId="14" fillId="0" borderId="0" xfId="1" applyNumberFormat="1" applyFont="1" applyAlignment="1">
      <alignment horizontal="right"/>
    </xf>
    <xf numFmtId="0" fontId="15" fillId="0" borderId="0" xfId="0" applyFont="1"/>
    <xf numFmtId="0" fontId="14" fillId="0" borderId="0" xfId="0" applyFont="1" applyAlignment="1">
      <alignment horizontal="left" vertical="top"/>
    </xf>
    <xf numFmtId="0" fontId="15" fillId="0" borderId="0" xfId="0" applyFont="1" applyAlignment="1" applyProtection="1">
      <alignment vertical="top" wrapText="1"/>
      <protection locked="0"/>
    </xf>
    <xf numFmtId="0" fontId="14" fillId="0" borderId="0" xfId="0" applyFont="1" applyAlignment="1">
      <alignment vertical="top"/>
    </xf>
    <xf numFmtId="43" fontId="14" fillId="0" borderId="0" xfId="1" applyFont="1" applyAlignment="1" applyProtection="1">
      <alignment horizontal="right"/>
      <protection locked="0"/>
    </xf>
    <xf numFmtId="0" fontId="4" fillId="0" borderId="0" xfId="0" applyFont="1"/>
    <xf numFmtId="0" fontId="15" fillId="0" borderId="0" xfId="0" applyFont="1" applyAlignment="1">
      <alignment horizontal="left" vertical="top" wrapText="1"/>
    </xf>
    <xf numFmtId="43" fontId="15" fillId="0" borderId="0" xfId="1" applyFont="1" applyAlignment="1">
      <alignment horizontal="right"/>
    </xf>
    <xf numFmtId="0" fontId="15" fillId="0" borderId="0" xfId="0" applyFont="1" applyAlignment="1">
      <alignment horizontal="right"/>
    </xf>
    <xf numFmtId="165" fontId="15" fillId="0" borderId="0" xfId="1" applyNumberFormat="1" applyFont="1" applyAlignment="1">
      <alignment horizontal="right"/>
    </xf>
    <xf numFmtId="0" fontId="8" fillId="0" borderId="0" xfId="0" applyFont="1"/>
    <xf numFmtId="0" fontId="16" fillId="0" borderId="0" xfId="0" applyFont="1"/>
    <xf numFmtId="0" fontId="8" fillId="0" borderId="12" xfId="0" applyFont="1" applyBorder="1" applyAlignment="1">
      <alignment vertical="top"/>
    </xf>
    <xf numFmtId="0" fontId="10" fillId="0" borderId="13" xfId="0" applyFont="1" applyFill="1" applyBorder="1"/>
    <xf numFmtId="0" fontId="10" fillId="0" borderId="5" xfId="0" applyFont="1" applyBorder="1" applyAlignment="1">
      <alignment horizontal="center"/>
    </xf>
    <xf numFmtId="0" fontId="10" fillId="0" borderId="6" xfId="0" applyFont="1" applyBorder="1" applyAlignment="1">
      <alignment horizontal="right" wrapText="1"/>
    </xf>
    <xf numFmtId="43" fontId="10" fillId="0" borderId="6" xfId="1" applyFont="1" applyBorder="1" applyAlignment="1">
      <alignment horizontal="center" wrapText="1"/>
    </xf>
    <xf numFmtId="0" fontId="10" fillId="0" borderId="15" xfId="0" applyFont="1" applyBorder="1" applyAlignment="1">
      <alignment horizontal="center" wrapText="1"/>
    </xf>
    <xf numFmtId="166" fontId="10" fillId="0" borderId="7" xfId="1" applyNumberFormat="1" applyFont="1" applyBorder="1" applyAlignment="1">
      <alignment horizontal="center" wrapText="1"/>
    </xf>
    <xf numFmtId="0" fontId="10" fillId="0" borderId="2" xfId="0" applyFont="1" applyBorder="1" applyAlignment="1">
      <alignment horizontal="center"/>
    </xf>
    <xf numFmtId="0" fontId="10" fillId="0" borderId="0" xfId="0" applyFont="1" applyBorder="1" applyAlignment="1">
      <alignment horizontal="right" wrapText="1"/>
    </xf>
    <xf numFmtId="43" fontId="10" fillId="0" borderId="16" xfId="1" applyFont="1" applyBorder="1" applyAlignment="1">
      <alignment horizontal="center" wrapText="1"/>
    </xf>
    <xf numFmtId="0" fontId="10" fillId="0" borderId="0" xfId="0" applyFont="1" applyBorder="1" applyAlignment="1">
      <alignment horizontal="center" wrapText="1"/>
    </xf>
    <xf numFmtId="166" fontId="10" fillId="0" borderId="17" xfId="1" applyNumberFormat="1" applyFont="1" applyBorder="1" applyAlignment="1">
      <alignment horizontal="center" wrapText="1"/>
    </xf>
    <xf numFmtId="0" fontId="8" fillId="0" borderId="0" xfId="0" applyFont="1" applyBorder="1" applyAlignment="1">
      <alignment horizontal="right" wrapText="1"/>
    </xf>
    <xf numFmtId="43" fontId="8" fillId="0" borderId="16" xfId="1" applyFont="1" applyBorder="1" applyAlignment="1">
      <alignment horizontal="center" wrapText="1"/>
    </xf>
    <xf numFmtId="1" fontId="8" fillId="0" borderId="0" xfId="0" applyNumberFormat="1" applyFont="1" applyBorder="1" applyAlignment="1">
      <alignment horizontal="right" wrapText="1"/>
    </xf>
    <xf numFmtId="0" fontId="8" fillId="0" borderId="0" xfId="0" applyFont="1" applyFill="1" applyBorder="1" applyAlignment="1">
      <alignment horizontal="right" wrapText="1"/>
    </xf>
    <xf numFmtId="43" fontId="8" fillId="0" borderId="16" xfId="1" applyFont="1" applyFill="1" applyBorder="1" applyAlignment="1">
      <alignment horizontal="center" wrapText="1"/>
    </xf>
    <xf numFmtId="1" fontId="8" fillId="0" borderId="0" xfId="0" applyNumberFormat="1" applyFont="1" applyFill="1" applyBorder="1" applyAlignment="1">
      <alignment horizontal="right" wrapText="1"/>
    </xf>
    <xf numFmtId="0" fontId="10" fillId="0" borderId="15" xfId="0" applyFont="1" applyBorder="1" applyAlignment="1">
      <alignment horizontal="right" wrapText="1"/>
    </xf>
    <xf numFmtId="0" fontId="10" fillId="0" borderId="2" xfId="0" applyFont="1" applyFill="1" applyBorder="1" applyAlignment="1">
      <alignment horizontal="center" vertical="top"/>
    </xf>
    <xf numFmtId="0" fontId="10" fillId="0" borderId="0" xfId="0" applyFont="1" applyAlignment="1">
      <alignment horizontal="right"/>
    </xf>
    <xf numFmtId="43" fontId="8" fillId="0" borderId="16" xfId="1" applyFont="1" applyBorder="1" applyAlignment="1">
      <alignment horizontal="right" vertical="top"/>
    </xf>
    <xf numFmtId="0" fontId="8" fillId="0" borderId="0" xfId="0" applyFont="1" applyBorder="1" applyAlignment="1">
      <alignment horizontal="right" vertical="top"/>
    </xf>
    <xf numFmtId="165" fontId="8" fillId="0" borderId="17" xfId="1" applyNumberFormat="1" applyFont="1" applyBorder="1" applyAlignment="1">
      <alignment horizontal="right" vertical="top"/>
    </xf>
    <xf numFmtId="0" fontId="8" fillId="0" borderId="16" xfId="0" applyFont="1" applyBorder="1" applyProtection="1"/>
    <xf numFmtId="0" fontId="8" fillId="0" borderId="0" xfId="0" applyFont="1" applyBorder="1" applyProtection="1"/>
    <xf numFmtId="0" fontId="8" fillId="0" borderId="17" xfId="0" applyFont="1" applyBorder="1" applyProtection="1"/>
    <xf numFmtId="164" fontId="8" fillId="0" borderId="16" xfId="1" applyNumberFormat="1" applyFont="1" applyBorder="1" applyAlignment="1">
      <alignment horizontal="right" vertical="top"/>
    </xf>
    <xf numFmtId="166" fontId="8" fillId="0" borderId="0" xfId="0" applyNumberFormat="1" applyFont="1" applyBorder="1" applyAlignment="1">
      <alignment horizontal="right" vertical="top"/>
    </xf>
    <xf numFmtId="164" fontId="8" fillId="0" borderId="17" xfId="0" applyNumberFormat="1" applyFont="1" applyBorder="1" applyAlignment="1">
      <alignment horizontal="right" vertical="top"/>
    </xf>
    <xf numFmtId="43" fontId="8" fillId="0" borderId="16" xfId="1" applyFont="1" applyFill="1" applyBorder="1" applyAlignment="1">
      <alignment horizontal="left" vertical="top" wrapText="1"/>
    </xf>
    <xf numFmtId="43" fontId="8" fillId="0" borderId="0" xfId="1" applyFont="1" applyFill="1" applyBorder="1" applyAlignment="1">
      <alignment horizontal="left" vertical="top" wrapText="1"/>
    </xf>
    <xf numFmtId="43" fontId="8" fillId="0" borderId="17" xfId="1" applyFont="1" applyFill="1" applyBorder="1" applyAlignment="1">
      <alignment horizontal="left" vertical="top" wrapText="1"/>
    </xf>
    <xf numFmtId="0" fontId="18" fillId="0" borderId="2" xfId="5" applyFont="1" applyFill="1" applyBorder="1" applyAlignment="1" applyProtection="1">
      <alignment horizontal="center" vertical="top"/>
    </xf>
    <xf numFmtId="0" fontId="8" fillId="0" borderId="0" xfId="0" applyFont="1" applyFill="1" applyBorder="1" applyAlignment="1">
      <alignment horizontal="right" vertical="top" wrapText="1"/>
    </xf>
    <xf numFmtId="167" fontId="8" fillId="0" borderId="16" xfId="1" applyNumberFormat="1" applyFont="1" applyBorder="1" applyAlignment="1">
      <alignment horizontal="right" vertical="top"/>
    </xf>
    <xf numFmtId="167" fontId="8" fillId="0" borderId="17" xfId="0" applyNumberFormat="1" applyFont="1" applyBorder="1" applyAlignment="1">
      <alignment horizontal="right" vertical="top"/>
    </xf>
    <xf numFmtId="0" fontId="10" fillId="0" borderId="2" xfId="0" applyFont="1" applyFill="1" applyBorder="1" applyAlignment="1">
      <alignment horizontal="center"/>
    </xf>
    <xf numFmtId="0" fontId="8" fillId="0" borderId="0" xfId="0" applyFont="1" applyAlignment="1">
      <alignment horizontal="right"/>
    </xf>
    <xf numFmtId="167" fontId="8" fillId="0" borderId="16" xfId="1" applyNumberFormat="1" applyFont="1" applyBorder="1" applyAlignment="1">
      <alignment horizontal="right"/>
    </xf>
    <xf numFmtId="166" fontId="8" fillId="0" borderId="0" xfId="0" applyNumberFormat="1" applyFont="1" applyBorder="1" applyAlignment="1">
      <alignment horizontal="right"/>
    </xf>
    <xf numFmtId="0" fontId="18" fillId="0" borderId="2" xfId="5" applyFont="1" applyFill="1" applyBorder="1" applyAlignment="1" applyProtection="1">
      <alignment horizontal="center"/>
    </xf>
    <xf numFmtId="0" fontId="8" fillId="0" borderId="0" xfId="0" applyFont="1" applyBorder="1" applyAlignment="1">
      <alignment horizontal="right"/>
    </xf>
    <xf numFmtId="167" fontId="8" fillId="0" borderId="16" xfId="0" applyNumberFormat="1" applyFont="1" applyBorder="1" applyAlignment="1">
      <alignment horizontal="right" vertical="top"/>
    </xf>
    <xf numFmtId="164" fontId="8" fillId="0" borderId="16" xfId="0" applyNumberFormat="1" applyFont="1" applyBorder="1" applyAlignment="1">
      <alignment horizontal="right" vertical="top"/>
    </xf>
    <xf numFmtId="0" fontId="10" fillId="0" borderId="2" xfId="0" applyFont="1" applyFill="1" applyBorder="1"/>
    <xf numFmtId="165" fontId="8" fillId="0" borderId="17" xfId="1" applyNumberFormat="1" applyFont="1" applyBorder="1" applyAlignment="1">
      <alignment horizontal="right"/>
    </xf>
    <xf numFmtId="0" fontId="10" fillId="2" borderId="1" xfId="0" applyFont="1" applyFill="1" applyBorder="1"/>
    <xf numFmtId="0" fontId="10" fillId="2" borderId="3" xfId="0" applyFont="1" applyFill="1" applyBorder="1" applyAlignment="1">
      <alignment horizontal="right" vertical="top" wrapText="1"/>
    </xf>
    <xf numFmtId="167" fontId="10" fillId="2" borderId="10" xfId="1" applyNumberFormat="1" applyFont="1" applyFill="1" applyBorder="1" applyAlignment="1">
      <alignment horizontal="right"/>
    </xf>
    <xf numFmtId="0" fontId="10" fillId="2" borderId="3" xfId="0" applyFont="1" applyFill="1" applyBorder="1" applyAlignment="1">
      <alignment horizontal="right"/>
    </xf>
    <xf numFmtId="167" fontId="10" fillId="2" borderId="11" xfId="1" applyNumberFormat="1" applyFont="1" applyFill="1" applyBorder="1" applyAlignment="1">
      <alignment horizontal="right"/>
    </xf>
    <xf numFmtId="0" fontId="10" fillId="2" borderId="10" xfId="0" applyFont="1" applyFill="1" applyBorder="1" applyProtection="1"/>
    <xf numFmtId="0" fontId="10" fillId="2" borderId="3" xfId="0" applyFont="1" applyFill="1" applyBorder="1" applyProtection="1"/>
    <xf numFmtId="0" fontId="11" fillId="0" borderId="0" xfId="0" applyFont="1" applyAlignment="1">
      <alignment horizontal="right"/>
    </xf>
    <xf numFmtId="166" fontId="8" fillId="0" borderId="0" xfId="1" applyNumberFormat="1" applyFont="1" applyBorder="1" applyAlignment="1">
      <alignment vertical="top"/>
    </xf>
    <xf numFmtId="167" fontId="14" fillId="0" borderId="16" xfId="1" applyNumberFormat="1" applyFont="1" applyFill="1" applyBorder="1" applyAlignment="1">
      <alignment horizontal="right"/>
    </xf>
    <xf numFmtId="0" fontId="8" fillId="0" borderId="16" xfId="0" applyFont="1" applyFill="1" applyBorder="1" applyProtection="1"/>
    <xf numFmtId="43" fontId="8" fillId="0" borderId="16" xfId="1" applyFont="1" applyBorder="1" applyAlignment="1">
      <alignment horizontal="right"/>
    </xf>
    <xf numFmtId="165" fontId="8" fillId="0" borderId="0" xfId="1" applyNumberFormat="1" applyFont="1" applyBorder="1" applyAlignment="1">
      <alignment horizontal="right"/>
    </xf>
    <xf numFmtId="43" fontId="10" fillId="2" borderId="10" xfId="1" applyFont="1" applyFill="1" applyBorder="1" applyAlignment="1">
      <alignment horizontal="right"/>
    </xf>
    <xf numFmtId="0" fontId="10" fillId="0" borderId="5" xfId="0" applyFont="1" applyFill="1" applyBorder="1"/>
    <xf numFmtId="0" fontId="10" fillId="0" borderId="5" xfId="0" applyFont="1" applyBorder="1" applyAlignment="1">
      <alignment horizontal="right"/>
    </xf>
    <xf numFmtId="43" fontId="8" fillId="0" borderId="6" xfId="1" applyFont="1" applyBorder="1" applyAlignment="1">
      <alignment horizontal="right"/>
    </xf>
    <xf numFmtId="0" fontId="8" fillId="0" borderId="15" xfId="0" applyFont="1" applyBorder="1" applyAlignment="1">
      <alignment horizontal="right"/>
    </xf>
    <xf numFmtId="167" fontId="10" fillId="0" borderId="7" xfId="1" applyNumberFormat="1" applyFont="1" applyBorder="1" applyAlignment="1">
      <alignment horizontal="right"/>
    </xf>
    <xf numFmtId="0" fontId="8" fillId="0" borderId="6" xfId="0" applyFont="1" applyBorder="1"/>
    <xf numFmtId="0" fontId="8" fillId="0" borderId="15" xfId="0" applyFont="1" applyBorder="1"/>
    <xf numFmtId="0" fontId="10" fillId="5" borderId="10" xfId="0" applyFont="1" applyFill="1" applyBorder="1"/>
    <xf numFmtId="0" fontId="10" fillId="5" borderId="1" xfId="0" applyFont="1" applyFill="1" applyBorder="1" applyAlignment="1">
      <alignment horizontal="right"/>
    </xf>
    <xf numFmtId="43" fontId="8" fillId="5" borderId="10" xfId="1" applyFont="1" applyFill="1" applyBorder="1" applyAlignment="1">
      <alignment horizontal="right"/>
    </xf>
    <xf numFmtId="0" fontId="8" fillId="5" borderId="3" xfId="0" applyFont="1" applyFill="1" applyBorder="1" applyAlignment="1">
      <alignment horizontal="right"/>
    </xf>
    <xf numFmtId="167" fontId="10" fillId="5" borderId="11" xfId="1" applyNumberFormat="1" applyFont="1" applyFill="1" applyBorder="1" applyAlignment="1">
      <alignment horizontal="right"/>
    </xf>
    <xf numFmtId="0" fontId="8" fillId="5" borderId="10" xfId="0" applyFont="1" applyFill="1" applyBorder="1" applyProtection="1"/>
    <xf numFmtId="0" fontId="8" fillId="5" borderId="3" xfId="0" applyFont="1" applyFill="1" applyBorder="1" applyProtection="1"/>
    <xf numFmtId="0" fontId="10" fillId="0" borderId="0" xfId="0" applyFont="1" applyFill="1" applyBorder="1"/>
    <xf numFmtId="0" fontId="10" fillId="0" borderId="0" xfId="0" applyFont="1" applyBorder="1" applyAlignment="1">
      <alignment horizontal="right"/>
    </xf>
    <xf numFmtId="43" fontId="8" fillId="0" borderId="0" xfId="1" applyFont="1" applyBorder="1" applyAlignment="1">
      <alignment horizontal="right"/>
    </xf>
    <xf numFmtId="167" fontId="10" fillId="0" borderId="0" xfId="1" applyNumberFormat="1" applyFont="1" applyBorder="1" applyAlignment="1">
      <alignment horizontal="right"/>
    </xf>
    <xf numFmtId="0" fontId="8" fillId="0" borderId="0" xfId="0" applyFont="1" applyBorder="1"/>
    <xf numFmtId="0" fontId="10" fillId="0" borderId="0" xfId="0" applyFont="1" applyFill="1" applyBorder="1" applyAlignment="1">
      <alignment horizontal="right"/>
    </xf>
    <xf numFmtId="43" fontId="8" fillId="0" borderId="0" xfId="1" applyFont="1" applyFill="1" applyBorder="1" applyAlignment="1">
      <alignment horizontal="right"/>
    </xf>
    <xf numFmtId="0" fontId="8" fillId="0" borderId="0" xfId="0" applyFont="1" applyFill="1" applyBorder="1" applyAlignment="1">
      <alignment horizontal="right"/>
    </xf>
    <xf numFmtId="167" fontId="10" fillId="0" borderId="0" xfId="1" applyNumberFormat="1" applyFont="1" applyFill="1" applyBorder="1" applyAlignment="1">
      <alignment horizontal="right"/>
    </xf>
    <xf numFmtId="0" fontId="8" fillId="0" borderId="0" xfId="0" applyFont="1" applyFill="1" applyBorder="1" applyProtection="1"/>
    <xf numFmtId="165" fontId="8" fillId="0" borderId="0" xfId="1" applyNumberFormat="1" applyFont="1" applyAlignment="1">
      <alignment horizontal="right"/>
    </xf>
    <xf numFmtId="0" fontId="14" fillId="4" borderId="18" xfId="0" applyFont="1" applyFill="1" applyBorder="1" applyAlignment="1">
      <alignment horizontal="left" vertical="center"/>
    </xf>
    <xf numFmtId="0" fontId="3" fillId="2" borderId="0" xfId="0" applyFont="1" applyFill="1" applyAlignment="1">
      <alignment wrapText="1"/>
    </xf>
    <xf numFmtId="0" fontId="2" fillId="0" borderId="0" xfId="0" applyFont="1"/>
    <xf numFmtId="0" fontId="0" fillId="0" borderId="0" xfId="0" applyAlignment="1">
      <alignment horizontal="left"/>
    </xf>
    <xf numFmtId="0" fontId="2" fillId="7" borderId="1" xfId="0" applyNumberFormat="1" applyFont="1" applyFill="1" applyBorder="1" applyAlignment="1">
      <alignment horizontal="center"/>
    </xf>
    <xf numFmtId="168" fontId="2" fillId="7" borderId="1" xfId="0" applyNumberFormat="1" applyFont="1" applyFill="1" applyBorder="1" applyAlignment="1">
      <alignment horizontal="center"/>
    </xf>
    <xf numFmtId="0" fontId="0" fillId="0" borderId="0" xfId="0" applyAlignment="1">
      <alignment horizontal="center"/>
    </xf>
    <xf numFmtId="0" fontId="2" fillId="7" borderId="1" xfId="0" applyFont="1" applyFill="1" applyBorder="1" applyAlignment="1">
      <alignment horizontal="left" wrapText="1"/>
    </xf>
    <xf numFmtId="0" fontId="2" fillId="7" borderId="1" xfId="0" applyFont="1" applyFill="1" applyBorder="1" applyAlignment="1">
      <alignment horizontal="center" wrapText="1"/>
    </xf>
    <xf numFmtId="0" fontId="0" fillId="0" borderId="1" xfId="0" applyBorder="1" applyAlignment="1">
      <alignment horizontal="left"/>
    </xf>
    <xf numFmtId="0" fontId="0" fillId="0" borderId="1" xfId="0" applyBorder="1"/>
    <xf numFmtId="0" fontId="0" fillId="0" borderId="1" xfId="0" applyBorder="1" applyAlignment="1">
      <alignment horizontal="center"/>
    </xf>
    <xf numFmtId="2" fontId="0" fillId="0" borderId="1" xfId="0" applyNumberFormat="1" applyBorder="1" applyAlignment="1">
      <alignment horizontal="center"/>
    </xf>
    <xf numFmtId="0" fontId="5" fillId="0" borderId="0" xfId="0" applyFont="1"/>
    <xf numFmtId="0" fontId="3" fillId="0" borderId="0" xfId="0" applyFont="1"/>
    <xf numFmtId="0" fontId="3" fillId="8" borderId="0" xfId="0" applyFont="1" applyFill="1"/>
    <xf numFmtId="0" fontId="22" fillId="0" borderId="0" xfId="0" applyFont="1"/>
    <xf numFmtId="0" fontId="3" fillId="8" borderId="0" xfId="0" applyFont="1" applyFill="1" applyAlignment="1"/>
    <xf numFmtId="0" fontId="3" fillId="0" borderId="0" xfId="0" applyFont="1" applyAlignment="1">
      <alignment horizontal="center" vertical="center"/>
    </xf>
    <xf numFmtId="0" fontId="19" fillId="0" borderId="0" xfId="0" applyFont="1" applyAlignment="1">
      <alignment horizontal="center" vertical="center" wrapText="1"/>
    </xf>
    <xf numFmtId="0" fontId="24" fillId="0" borderId="0" xfId="0" applyFont="1"/>
    <xf numFmtId="0" fontId="3" fillId="9" borderId="1" xfId="0" applyFont="1" applyFill="1" applyBorder="1" applyAlignment="1">
      <alignment horizontal="left" vertical="center"/>
    </xf>
    <xf numFmtId="0" fontId="3" fillId="10" borderId="10" xfId="0" applyFont="1" applyFill="1" applyBorder="1" applyAlignment="1">
      <alignment horizontal="center" vertical="center"/>
    </xf>
    <xf numFmtId="0" fontId="3" fillId="0" borderId="19" xfId="0" applyFont="1" applyBorder="1" applyAlignment="1">
      <alignment horizontal="center" vertical="center"/>
    </xf>
    <xf numFmtId="0" fontId="3" fillId="0" borderId="0" xfId="0" applyFont="1" applyAlignment="1">
      <alignment horizontal="center" vertical="center" wrapText="1"/>
    </xf>
    <xf numFmtId="0" fontId="19" fillId="0" borderId="1" xfId="0" applyFont="1" applyBorder="1" applyAlignment="1">
      <alignment vertical="top" wrapText="1"/>
    </xf>
    <xf numFmtId="0" fontId="19" fillId="0" borderId="1" xfId="0" applyFont="1" applyBorder="1" applyAlignment="1">
      <alignment horizontal="center" vertical="top" wrapText="1"/>
    </xf>
    <xf numFmtId="0" fontId="19" fillId="3" borderId="1" xfId="0" applyFont="1" applyFill="1" applyBorder="1" applyAlignment="1">
      <alignment horizontal="center" vertical="top" wrapText="1"/>
    </xf>
    <xf numFmtId="0" fontId="19" fillId="8" borderId="0" xfId="0" applyFont="1" applyFill="1" applyBorder="1" applyAlignment="1">
      <alignment horizontal="center" vertical="top" wrapText="1"/>
    </xf>
    <xf numFmtId="0" fontId="3" fillId="0" borderId="0" xfId="0" applyFont="1" applyAlignment="1">
      <alignment wrapText="1"/>
    </xf>
    <xf numFmtId="0" fontId="3" fillId="0" borderId="20" xfId="0" applyFont="1" applyBorder="1" applyAlignment="1">
      <alignment horizontal="center" vertical="center"/>
    </xf>
    <xf numFmtId="10" fontId="3" fillId="8" borderId="16" xfId="0" applyNumberFormat="1" applyFont="1" applyFill="1" applyBorder="1" applyAlignment="1">
      <alignment horizontal="center" vertical="center"/>
    </xf>
    <xf numFmtId="0" fontId="3" fillId="0" borderId="21" xfId="0" applyFont="1" applyBorder="1"/>
    <xf numFmtId="0" fontId="3" fillId="0" borderId="22" xfId="0" applyFont="1" applyBorder="1"/>
    <xf numFmtId="1" fontId="3" fillId="0" borderId="22" xfId="0" applyNumberFormat="1" applyFont="1" applyBorder="1" applyAlignment="1">
      <alignment horizontal="center" vertical="center"/>
    </xf>
    <xf numFmtId="0" fontId="3" fillId="0" borderId="22" xfId="0" applyFont="1" applyBorder="1" applyAlignment="1">
      <alignment horizontal="center" vertical="center"/>
    </xf>
    <xf numFmtId="0" fontId="3" fillId="0" borderId="0" xfId="0" applyFont="1" applyFill="1" applyBorder="1" applyAlignment="1">
      <alignment horizontal="center" vertical="center"/>
    </xf>
    <xf numFmtId="1" fontId="3" fillId="0" borderId="0" xfId="0" applyNumberFormat="1" applyFont="1" applyFill="1" applyBorder="1" applyAlignment="1">
      <alignment horizontal="center" vertical="center"/>
    </xf>
    <xf numFmtId="0" fontId="3" fillId="0" borderId="0" xfId="0" applyFont="1" applyFill="1" applyBorder="1"/>
    <xf numFmtId="0" fontId="3" fillId="0" borderId="16" xfId="0" applyFont="1" applyBorder="1"/>
    <xf numFmtId="0" fontId="3" fillId="0" borderId="0" xfId="0" applyFont="1" applyBorder="1"/>
    <xf numFmtId="1" fontId="3" fillId="0" borderId="0" xfId="0" applyNumberFormat="1" applyFont="1" applyBorder="1" applyAlignment="1">
      <alignment horizontal="center" vertical="center"/>
    </xf>
    <xf numFmtId="3" fontId="3" fillId="0" borderId="1" xfId="0" applyNumberFormat="1" applyFont="1" applyFill="1" applyBorder="1" applyAlignment="1">
      <alignment horizontal="center" vertical="center"/>
    </xf>
    <xf numFmtId="0" fontId="3" fillId="0" borderId="0" xfId="0" applyFont="1" applyBorder="1" applyAlignment="1">
      <alignment horizontal="center" vertical="center"/>
    </xf>
    <xf numFmtId="0" fontId="3" fillId="0" borderId="23" xfId="0" applyFont="1" applyBorder="1"/>
    <xf numFmtId="1" fontId="3" fillId="0" borderId="20" xfId="0" applyNumberFormat="1" applyFont="1" applyBorder="1" applyAlignment="1">
      <alignment horizontal="center" vertical="center"/>
    </xf>
    <xf numFmtId="1" fontId="3" fillId="0" borderId="16" xfId="0" applyNumberFormat="1" applyFont="1" applyBorder="1" applyAlignment="1">
      <alignment horizontal="center" vertical="center"/>
    </xf>
    <xf numFmtId="3" fontId="3" fillId="0" borderId="1" xfId="0" applyNumberFormat="1" applyFont="1" applyBorder="1" applyAlignment="1">
      <alignment horizontal="center" vertical="center"/>
    </xf>
    <xf numFmtId="1" fontId="3" fillId="0" borderId="23" xfId="0" applyNumberFormat="1" applyFont="1" applyBorder="1" applyAlignment="1">
      <alignment horizontal="center" vertical="center"/>
    </xf>
    <xf numFmtId="0" fontId="3" fillId="0" borderId="20" xfId="0" applyFont="1" applyFill="1" applyBorder="1"/>
    <xf numFmtId="0" fontId="3" fillId="0" borderId="20" xfId="0" applyFont="1" applyFill="1" applyBorder="1" applyAlignment="1">
      <alignment horizontal="center" vertical="center"/>
    </xf>
    <xf numFmtId="0" fontId="3" fillId="9" borderId="0" xfId="0" applyFont="1" applyFill="1" applyBorder="1"/>
    <xf numFmtId="0" fontId="3" fillId="9" borderId="0" xfId="0" applyFont="1" applyFill="1" applyBorder="1" applyAlignment="1">
      <alignment horizontal="center" vertical="center"/>
    </xf>
    <xf numFmtId="0" fontId="3" fillId="10" borderId="0" xfId="0" applyFont="1" applyFill="1" applyBorder="1"/>
    <xf numFmtId="0" fontId="3" fillId="10" borderId="0" xfId="0" applyFont="1" applyFill="1" applyBorder="1" applyAlignment="1">
      <alignment horizontal="center" vertical="center"/>
    </xf>
    <xf numFmtId="3" fontId="3" fillId="9" borderId="1" xfId="0" applyNumberFormat="1" applyFont="1" applyFill="1" applyBorder="1" applyAlignment="1">
      <alignment horizontal="center" vertical="center"/>
    </xf>
    <xf numFmtId="0" fontId="3" fillId="9" borderId="20" xfId="0" applyFont="1" applyFill="1" applyBorder="1"/>
    <xf numFmtId="0" fontId="3" fillId="9" borderId="20" xfId="0" applyFont="1" applyFill="1" applyBorder="1" applyAlignment="1">
      <alignment horizontal="center" vertical="center"/>
    </xf>
    <xf numFmtId="0" fontId="3" fillId="10" borderId="20" xfId="0" applyFont="1" applyFill="1" applyBorder="1"/>
    <xf numFmtId="0" fontId="3" fillId="10" borderId="20" xfId="0" applyFont="1" applyFill="1" applyBorder="1" applyAlignment="1">
      <alignment horizontal="center" vertical="center"/>
    </xf>
    <xf numFmtId="1" fontId="3" fillId="9" borderId="0" xfId="0" applyNumberFormat="1" applyFont="1" applyFill="1" applyBorder="1" applyAlignment="1">
      <alignment horizontal="center" vertical="center"/>
    </xf>
    <xf numFmtId="1" fontId="3" fillId="10" borderId="0" xfId="0" applyNumberFormat="1" applyFont="1" applyFill="1" applyBorder="1" applyAlignment="1">
      <alignment horizontal="center" vertical="center"/>
    </xf>
    <xf numFmtId="3" fontId="3" fillId="9" borderId="0" xfId="0" applyNumberFormat="1" applyFont="1" applyFill="1" applyBorder="1" applyAlignment="1">
      <alignment horizontal="center" vertical="center"/>
    </xf>
    <xf numFmtId="0" fontId="3" fillId="9" borderId="0" xfId="0" applyFont="1" applyFill="1"/>
    <xf numFmtId="3" fontId="3" fillId="10" borderId="1" xfId="0" applyNumberFormat="1" applyFont="1" applyFill="1" applyBorder="1" applyAlignment="1">
      <alignment horizontal="center" vertical="center"/>
    </xf>
    <xf numFmtId="0" fontId="3" fillId="10" borderId="0" xfId="0" applyFont="1" applyFill="1"/>
    <xf numFmtId="0" fontId="3" fillId="0" borderId="1" xfId="0" applyFont="1" applyBorder="1" applyAlignment="1">
      <alignment vertical="center" wrapText="1"/>
    </xf>
    <xf numFmtId="0" fontId="6" fillId="0" borderId="12" xfId="3" applyBorder="1" applyAlignment="1" applyProtection="1">
      <alignment horizontal="center" vertical="center" wrapText="1"/>
    </xf>
    <xf numFmtId="0" fontId="3" fillId="3" borderId="11" xfId="0" applyFont="1" applyFill="1" applyBorder="1" applyAlignment="1">
      <alignment horizontal="center"/>
    </xf>
    <xf numFmtId="0" fontId="3" fillId="0" borderId="1" xfId="0" applyFont="1" applyBorder="1" applyAlignment="1">
      <alignment horizontal="center"/>
    </xf>
    <xf numFmtId="1" fontId="3" fillId="8" borderId="16" xfId="0" applyNumberFormat="1" applyFont="1" applyFill="1" applyBorder="1" applyAlignment="1">
      <alignment horizontal="center" vertical="center"/>
    </xf>
    <xf numFmtId="169" fontId="3" fillId="0" borderId="19" xfId="0" applyNumberFormat="1" applyFont="1" applyFill="1" applyBorder="1" applyAlignment="1">
      <alignment horizontal="center" vertical="center"/>
    </xf>
    <xf numFmtId="167" fontId="3" fillId="3" borderId="7" xfId="0" applyNumberFormat="1" applyFont="1" applyFill="1" applyBorder="1" applyAlignment="1">
      <alignment horizontal="center" vertical="center"/>
    </xf>
    <xf numFmtId="167" fontId="3" fillId="0" borderId="5" xfId="0" applyNumberFormat="1" applyFont="1" applyBorder="1" applyAlignment="1">
      <alignment horizontal="center" vertical="center"/>
    </xf>
    <xf numFmtId="167" fontId="3" fillId="8" borderId="16" xfId="0" applyNumberFormat="1" applyFont="1" applyFill="1" applyBorder="1" applyAlignment="1">
      <alignment horizontal="center" vertical="center"/>
    </xf>
    <xf numFmtId="169" fontId="3" fillId="0" borderId="24" xfId="0" applyNumberFormat="1" applyFont="1" applyFill="1" applyBorder="1" applyAlignment="1">
      <alignment horizontal="center" vertical="center"/>
    </xf>
    <xf numFmtId="0" fontId="26" fillId="2" borderId="0" xfId="3" applyFont="1" applyFill="1" applyAlignment="1" applyProtection="1"/>
    <xf numFmtId="0" fontId="3" fillId="2" borderId="0" xfId="0" applyFont="1" applyFill="1" applyAlignment="1"/>
    <xf numFmtId="3" fontId="3" fillId="0" borderId="0" xfId="0" applyNumberFormat="1" applyFont="1" applyFill="1" applyBorder="1" applyAlignment="1">
      <alignment horizontal="center" vertical="center"/>
    </xf>
    <xf numFmtId="0" fontId="0" fillId="0" borderId="0" xfId="0" applyFill="1"/>
    <xf numFmtId="0" fontId="3" fillId="8" borderId="16" xfId="0" applyNumberFormat="1" applyFont="1" applyFill="1" applyBorder="1" applyAlignment="1">
      <alignment horizontal="center" vertical="center"/>
    </xf>
    <xf numFmtId="0" fontId="3" fillId="0" borderId="0" xfId="0" applyFont="1" applyBorder="1" applyAlignment="1">
      <alignment vertical="center" wrapText="1"/>
    </xf>
    <xf numFmtId="0" fontId="28" fillId="0" borderId="25" xfId="6" applyFont="1" applyBorder="1"/>
    <xf numFmtId="0" fontId="27" fillId="0" borderId="0" xfId="6"/>
    <xf numFmtId="0" fontId="29" fillId="0" borderId="25" xfId="6" applyFont="1" applyBorder="1" applyAlignment="1">
      <alignment horizontal="left" wrapText="1"/>
    </xf>
    <xf numFmtId="0" fontId="31" fillId="11" borderId="25" xfId="6" applyFont="1" applyFill="1" applyBorder="1" applyAlignment="1">
      <alignment horizontal="center" vertical="top" wrapText="1"/>
    </xf>
    <xf numFmtId="0" fontId="32" fillId="12" borderId="25" xfId="6" applyFont="1" applyFill="1" applyBorder="1" applyAlignment="1">
      <alignment wrapText="1"/>
    </xf>
    <xf numFmtId="0" fontId="33" fillId="13" borderId="25" xfId="6" applyFont="1" applyFill="1" applyBorder="1" applyAlignment="1">
      <alignment horizontal="center"/>
    </xf>
    <xf numFmtId="0" fontId="34" fillId="12" borderId="25" xfId="6" applyFont="1" applyFill="1" applyBorder="1" applyAlignment="1">
      <alignment vertical="top" wrapText="1"/>
    </xf>
    <xf numFmtId="0" fontId="28" fillId="0" borderId="25" xfId="6" applyNumberFormat="1" applyFont="1" applyBorder="1" applyAlignment="1">
      <alignment horizontal="right"/>
    </xf>
    <xf numFmtId="0" fontId="28" fillId="14" borderId="25" xfId="6" applyNumberFormat="1" applyFont="1" applyFill="1" applyBorder="1" applyAlignment="1">
      <alignment horizontal="right"/>
    </xf>
    <xf numFmtId="0" fontId="35" fillId="0" borderId="0" xfId="6" applyFont="1" applyAlignment="1">
      <alignment horizontal="left"/>
    </xf>
    <xf numFmtId="10" fontId="3" fillId="0" borderId="1" xfId="0" applyNumberFormat="1" applyFont="1" applyBorder="1" applyAlignment="1">
      <alignment vertical="center" wrapText="1"/>
    </xf>
    <xf numFmtId="171" fontId="3" fillId="0" borderId="1" xfId="0" applyNumberFormat="1" applyFont="1" applyBorder="1" applyAlignment="1">
      <alignment vertical="center" wrapText="1"/>
    </xf>
    <xf numFmtId="172" fontId="3" fillId="0" borderId="1" xfId="2" applyNumberFormat="1" applyFont="1" applyBorder="1" applyAlignment="1">
      <alignment vertical="center" wrapText="1"/>
    </xf>
    <xf numFmtId="0" fontId="3" fillId="0" borderId="1" xfId="0" applyNumberFormat="1" applyFont="1" applyBorder="1" applyAlignment="1">
      <alignment vertical="center" wrapText="1"/>
    </xf>
    <xf numFmtId="170" fontId="3" fillId="0" borderId="1" xfId="0" applyNumberFormat="1" applyFont="1" applyBorder="1" applyAlignment="1">
      <alignment vertical="center" wrapText="1"/>
    </xf>
    <xf numFmtId="0" fontId="3" fillId="0" borderId="1" xfId="0" applyFont="1" applyBorder="1" applyAlignment="1">
      <alignment wrapText="1"/>
    </xf>
    <xf numFmtId="0" fontId="27" fillId="0" borderId="0" xfId="6" applyFill="1"/>
    <xf numFmtId="0" fontId="31" fillId="0" borderId="0" xfId="6" applyFont="1" applyFill="1" applyBorder="1" applyAlignment="1">
      <alignment vertical="top" wrapText="1"/>
    </xf>
    <xf numFmtId="173" fontId="28" fillId="15" borderId="0" xfId="7" applyNumberFormat="1" applyFont="1" applyFill="1" applyAlignment="1">
      <alignment vertical="top"/>
    </xf>
    <xf numFmtId="173" fontId="28" fillId="6" borderId="37" xfId="7" applyNumberFormat="1" applyFont="1" applyFill="1" applyBorder="1" applyAlignment="1">
      <alignment vertical="top"/>
    </xf>
    <xf numFmtId="173" fontId="28" fillId="0" borderId="38" xfId="7" applyNumberFormat="1" applyFont="1" applyFill="1" applyBorder="1" applyAlignment="1">
      <alignment vertical="top"/>
    </xf>
    <xf numFmtId="173" fontId="28" fillId="0" borderId="39" xfId="7" quotePrefix="1" applyNumberFormat="1" applyFont="1" applyFill="1" applyBorder="1" applyAlignment="1">
      <alignment horizontal="right" vertical="center"/>
    </xf>
    <xf numFmtId="9" fontId="28" fillId="0" borderId="39" xfId="8" quotePrefix="1" applyFont="1" applyFill="1" applyBorder="1" applyAlignment="1">
      <alignment horizontal="right" vertical="center"/>
    </xf>
    <xf numFmtId="173" fontId="28" fillId="6" borderId="40" xfId="7" applyNumberFormat="1" applyFont="1" applyFill="1" applyBorder="1" applyAlignment="1">
      <alignment vertical="top"/>
    </xf>
    <xf numFmtId="173" fontId="28" fillId="0" borderId="16" xfId="7" applyNumberFormat="1" applyFont="1" applyFill="1" applyBorder="1" applyAlignment="1">
      <alignment vertical="top"/>
    </xf>
    <xf numFmtId="173" fontId="28" fillId="0" borderId="41" xfId="7" quotePrefix="1" applyNumberFormat="1" applyFont="1" applyFill="1" applyBorder="1" applyAlignment="1">
      <alignment horizontal="right" vertical="center"/>
    </xf>
    <xf numFmtId="9" fontId="28" fillId="0" borderId="41" xfId="8" quotePrefix="1" applyFont="1" applyFill="1" applyBorder="1" applyAlignment="1">
      <alignment horizontal="right" vertical="center"/>
    </xf>
    <xf numFmtId="173" fontId="28" fillId="6" borderId="42" xfId="7" applyNumberFormat="1" applyFont="1" applyFill="1" applyBorder="1" applyAlignment="1">
      <alignment vertical="top"/>
    </xf>
    <xf numFmtId="173" fontId="28" fillId="0" borderId="43" xfId="7" applyNumberFormat="1" applyFont="1" applyFill="1" applyBorder="1" applyAlignment="1">
      <alignment vertical="top"/>
    </xf>
    <xf numFmtId="173" fontId="28" fillId="0" borderId="44" xfId="7" quotePrefix="1" applyNumberFormat="1" applyFont="1" applyFill="1" applyBorder="1" applyAlignment="1">
      <alignment horizontal="right" vertical="center"/>
    </xf>
    <xf numFmtId="9" fontId="28" fillId="0" borderId="44" xfId="8" quotePrefix="1" applyFont="1" applyFill="1" applyBorder="1" applyAlignment="1">
      <alignment horizontal="right" vertical="center"/>
    </xf>
    <xf numFmtId="173" fontId="28" fillId="16" borderId="8" xfId="7" applyNumberFormat="1" applyFont="1" applyFill="1" applyBorder="1" applyAlignment="1">
      <alignment horizontal="center" vertical="center" wrapText="1"/>
    </xf>
    <xf numFmtId="173" fontId="28" fillId="16" borderId="45" xfId="7" applyNumberFormat="1" applyFont="1" applyFill="1" applyBorder="1" applyAlignment="1">
      <alignment horizontal="center" vertical="center" wrapText="1"/>
    </xf>
    <xf numFmtId="173" fontId="28" fillId="16" borderId="46" xfId="7" applyNumberFormat="1" applyFont="1" applyFill="1" applyBorder="1" applyAlignment="1">
      <alignment horizontal="center" vertical="center" wrapText="1"/>
    </xf>
    <xf numFmtId="173" fontId="28" fillId="16" borderId="47" xfId="7" applyNumberFormat="1" applyFont="1" applyFill="1" applyBorder="1" applyAlignment="1">
      <alignment horizontal="center" vertical="center" wrapText="1"/>
    </xf>
    <xf numFmtId="173" fontId="28" fillId="16" borderId="48" xfId="7" applyNumberFormat="1" applyFont="1" applyFill="1" applyBorder="1" applyAlignment="1">
      <alignment horizontal="center" vertical="center" wrapText="1"/>
    </xf>
    <xf numFmtId="175" fontId="28" fillId="16" borderId="48" xfId="7" applyNumberFormat="1" applyFont="1" applyFill="1" applyBorder="1" applyAlignment="1">
      <alignment horizontal="center" vertical="center" wrapText="1"/>
    </xf>
    <xf numFmtId="176" fontId="28" fillId="16" borderId="48" xfId="7" applyNumberFormat="1" applyFont="1" applyFill="1" applyBorder="1" applyAlignment="1">
      <alignment horizontal="center" vertical="center" wrapText="1"/>
    </xf>
    <xf numFmtId="174" fontId="28" fillId="16" borderId="49" xfId="7" applyNumberFormat="1" applyFont="1" applyFill="1" applyBorder="1" applyAlignment="1">
      <alignment horizontal="center" vertical="center" wrapText="1"/>
    </xf>
    <xf numFmtId="174" fontId="28" fillId="16" borderId="9" xfId="7" applyNumberFormat="1" applyFont="1" applyFill="1" applyBorder="1" applyAlignment="1">
      <alignment horizontal="center" vertical="center" wrapText="1"/>
    </xf>
    <xf numFmtId="170" fontId="8" fillId="0" borderId="1" xfId="4" applyNumberFormat="1" applyFont="1" applyFill="1" applyBorder="1"/>
    <xf numFmtId="0" fontId="10" fillId="0" borderId="0" xfId="0" applyFont="1" applyFill="1" applyAlignment="1">
      <alignment horizontal="right" vertical="center"/>
    </xf>
    <xf numFmtId="166" fontId="8" fillId="0" borderId="0" xfId="0" applyNumberFormat="1" applyFont="1" applyBorder="1" applyAlignment="1">
      <alignment vertical="center"/>
    </xf>
    <xf numFmtId="167" fontId="8" fillId="0" borderId="16" xfId="1" applyNumberFormat="1" applyFont="1" applyFill="1" applyBorder="1" applyAlignment="1">
      <alignment horizontal="right"/>
    </xf>
    <xf numFmtId="177" fontId="3" fillId="0" borderId="1" xfId="2" applyNumberFormat="1" applyFont="1" applyBorder="1" applyAlignment="1">
      <alignment vertical="center" wrapText="1"/>
    </xf>
    <xf numFmtId="172" fontId="0" fillId="0" borderId="0" xfId="2" applyNumberFormat="1" applyFont="1"/>
    <xf numFmtId="9" fontId="0" fillId="2" borderId="0" xfId="9" applyFont="1" applyFill="1"/>
    <xf numFmtId="9" fontId="0" fillId="0" borderId="0" xfId="9" applyFont="1" applyFill="1"/>
    <xf numFmtId="170" fontId="0" fillId="0" borderId="0" xfId="0" applyNumberFormat="1"/>
    <xf numFmtId="0" fontId="0" fillId="0" borderId="0" xfId="0" applyAlignment="1">
      <alignment horizontal="right" vertical="center"/>
    </xf>
    <xf numFmtId="0" fontId="0" fillId="0" borderId="0" xfId="0" applyAlignment="1">
      <alignment horizontal="left" vertical="center" wrapText="1"/>
    </xf>
    <xf numFmtId="0" fontId="3" fillId="0" borderId="0" xfId="0" applyFont="1" applyFill="1" applyAlignment="1">
      <alignment wrapText="1"/>
    </xf>
    <xf numFmtId="0" fontId="3" fillId="0" borderId="0" xfId="0" applyFont="1" applyFill="1" applyAlignment="1"/>
    <xf numFmtId="10" fontId="3" fillId="0" borderId="0" xfId="0" applyNumberFormat="1" applyFont="1" applyFill="1" applyBorder="1"/>
    <xf numFmtId="0" fontId="7" fillId="0" borderId="1" xfId="0" applyFont="1" applyFill="1" applyBorder="1" applyAlignment="1">
      <alignment horizontal="center" wrapText="1"/>
    </xf>
    <xf numFmtId="0" fontId="7" fillId="0" borderId="1" xfId="0" applyFont="1" applyBorder="1" applyAlignment="1">
      <alignment horizontal="center" wrapText="1"/>
    </xf>
    <xf numFmtId="0" fontId="38" fillId="0" borderId="15" xfId="0" applyFont="1" applyBorder="1"/>
    <xf numFmtId="0" fontId="39" fillId="0" borderId="15" xfId="0" applyFont="1" applyBorder="1"/>
    <xf numFmtId="0" fontId="7" fillId="0" borderId="1" xfId="0" applyFont="1" applyBorder="1" applyAlignment="1">
      <alignment wrapText="1"/>
    </xf>
    <xf numFmtId="0" fontId="3" fillId="0" borderId="1" xfId="0" applyFont="1" applyBorder="1"/>
    <xf numFmtId="10" fontId="3" fillId="0" borderId="1" xfId="0" applyNumberFormat="1" applyFont="1" applyBorder="1"/>
    <xf numFmtId="178" fontId="7" fillId="0" borderId="1" xfId="0" applyNumberFormat="1" applyFont="1" applyFill="1" applyBorder="1" applyAlignment="1">
      <alignment horizontal="center" wrapText="1"/>
    </xf>
    <xf numFmtId="178" fontId="7" fillId="0" borderId="12" xfId="0" applyNumberFormat="1" applyFont="1" applyFill="1" applyBorder="1" applyAlignment="1">
      <alignment horizontal="center" wrapText="1"/>
    </xf>
    <xf numFmtId="0" fontId="3" fillId="0" borderId="12" xfId="0" applyFont="1" applyBorder="1"/>
    <xf numFmtId="9" fontId="3" fillId="0" borderId="12" xfId="0" applyNumberFormat="1" applyFont="1" applyBorder="1"/>
    <xf numFmtId="0" fontId="3" fillId="0" borderId="2" xfId="0" applyFont="1" applyBorder="1"/>
    <xf numFmtId="9" fontId="3" fillId="0" borderId="5" xfId="0" applyNumberFormat="1" applyFont="1" applyBorder="1"/>
    <xf numFmtId="9" fontId="3" fillId="0" borderId="1" xfId="0" applyNumberFormat="1" applyFont="1" applyBorder="1"/>
    <xf numFmtId="0" fontId="10" fillId="2" borderId="11" xfId="0" applyFont="1" applyFill="1" applyBorder="1" applyAlignment="1">
      <alignment horizontal="right" vertical="top" wrapText="1"/>
    </xf>
    <xf numFmtId="170" fontId="0" fillId="0" borderId="17" xfId="0" applyNumberFormat="1" applyBorder="1"/>
    <xf numFmtId="0" fontId="8" fillId="2" borderId="1" xfId="0" applyFont="1" applyFill="1" applyBorder="1" applyAlignment="1">
      <alignment horizontal="right" vertical="center"/>
    </xf>
    <xf numFmtId="0" fontId="8" fillId="2" borderId="2" xfId="0" applyFont="1" applyFill="1" applyBorder="1" applyAlignment="1">
      <alignment horizontal="right" vertical="center"/>
    </xf>
    <xf numFmtId="0" fontId="8" fillId="2" borderId="2" xfId="0" applyFont="1" applyFill="1" applyBorder="1"/>
    <xf numFmtId="0" fontId="10" fillId="2" borderId="10" xfId="0" applyFont="1" applyFill="1" applyBorder="1" applyAlignment="1">
      <alignment horizontal="right" vertical="top" wrapText="1"/>
    </xf>
    <xf numFmtId="0" fontId="0" fillId="0" borderId="16" xfId="0" applyBorder="1"/>
    <xf numFmtId="177" fontId="10" fillId="2" borderId="11" xfId="2" applyNumberFormat="1" applyFont="1" applyFill="1" applyBorder="1" applyAlignment="1">
      <alignment horizontal="right" vertical="top" wrapText="1"/>
    </xf>
    <xf numFmtId="0" fontId="10" fillId="2" borderId="1" xfId="0" applyFont="1" applyFill="1" applyBorder="1" applyAlignment="1">
      <alignment horizontal="right" vertical="top" wrapText="1"/>
    </xf>
    <xf numFmtId="0" fontId="40" fillId="2" borderId="0" xfId="0" applyFont="1" applyFill="1" applyAlignment="1"/>
    <xf numFmtId="0" fontId="40" fillId="0" borderId="0" xfId="0" applyFont="1" applyFill="1" applyAlignment="1"/>
    <xf numFmtId="165" fontId="41" fillId="0" borderId="0" xfId="10" applyFont="1" applyFill="1" applyAlignment="1">
      <alignment horizontal="right"/>
    </xf>
    <xf numFmtId="0" fontId="15" fillId="0" borderId="0" xfId="0" applyFont="1" applyFill="1" applyAlignment="1">
      <alignment vertical="top" wrapText="1"/>
    </xf>
    <xf numFmtId="0" fontId="15" fillId="0" borderId="0" xfId="0" applyFont="1" applyFill="1" applyAlignment="1">
      <alignment horizontal="left" vertical="top"/>
    </xf>
    <xf numFmtId="0" fontId="42" fillId="0" borderId="0" xfId="0" applyFont="1" applyFill="1" applyAlignment="1">
      <alignment wrapText="1"/>
    </xf>
    <xf numFmtId="0" fontId="43" fillId="0" borderId="0" xfId="0" applyFont="1" applyFill="1" applyAlignment="1"/>
    <xf numFmtId="0" fontId="40" fillId="0" borderId="0" xfId="0" applyFont="1" applyFill="1"/>
    <xf numFmtId="0" fontId="3" fillId="0" borderId="0" xfId="0" applyFont="1" applyFill="1" applyAlignment="1">
      <alignment horizontal="left" vertical="top"/>
    </xf>
    <xf numFmtId="0" fontId="8" fillId="0" borderId="0" xfId="0" applyFont="1" applyFill="1" applyAlignment="1">
      <alignment vertical="top" wrapText="1"/>
    </xf>
    <xf numFmtId="0" fontId="10" fillId="0" borderId="1" xfId="0" applyFont="1" applyFill="1" applyBorder="1" applyAlignment="1">
      <alignment horizontal="center" vertical="top" wrapText="1"/>
    </xf>
    <xf numFmtId="173" fontId="8" fillId="0" borderId="12" xfId="10" applyNumberFormat="1" applyFont="1" applyFill="1" applyBorder="1" applyAlignment="1">
      <alignment horizontal="center" vertical="top" wrapText="1"/>
    </xf>
    <xf numFmtId="173" fontId="8" fillId="0" borderId="2" xfId="10" applyNumberFormat="1" applyFont="1" applyFill="1" applyBorder="1" applyAlignment="1">
      <alignment horizontal="center" vertical="top" wrapText="1"/>
    </xf>
    <xf numFmtId="3" fontId="10" fillId="0" borderId="1" xfId="0" applyNumberFormat="1" applyFont="1" applyFill="1" applyBorder="1" applyAlignment="1">
      <alignment horizontal="center" vertical="top" wrapText="1"/>
    </xf>
    <xf numFmtId="0" fontId="10" fillId="0" borderId="0" xfId="0" applyFont="1" applyFill="1" applyBorder="1" applyAlignment="1">
      <alignment vertical="top" wrapText="1"/>
    </xf>
    <xf numFmtId="3" fontId="10" fillId="0" borderId="0" xfId="0" applyNumberFormat="1" applyFont="1" applyFill="1" applyBorder="1" applyAlignment="1">
      <alignment horizontal="center" vertical="top" wrapText="1"/>
    </xf>
    <xf numFmtId="0" fontId="40" fillId="0" borderId="0" xfId="0" applyFont="1" applyFill="1" applyAlignment="1">
      <alignment vertical="top" wrapText="1"/>
    </xf>
    <xf numFmtId="0" fontId="8" fillId="0" borderId="0" xfId="0" applyFont="1" applyFill="1" applyAlignment="1"/>
    <xf numFmtId="0" fontId="8" fillId="0" borderId="0" xfId="0" applyFont="1" applyFill="1" applyAlignment="1">
      <alignment wrapText="1"/>
    </xf>
    <xf numFmtId="0" fontId="3" fillId="0" borderId="0" xfId="0" applyFont="1" applyFill="1" applyAlignment="1">
      <alignment vertical="top" wrapText="1"/>
    </xf>
    <xf numFmtId="0" fontId="8" fillId="2" borderId="0" xfId="0" applyFont="1" applyFill="1" applyAlignment="1"/>
    <xf numFmtId="0" fontId="10" fillId="0" borderId="3" xfId="0" applyFont="1" applyFill="1" applyBorder="1" applyAlignment="1">
      <alignment vertical="top" wrapText="1"/>
    </xf>
    <xf numFmtId="0" fontId="8" fillId="0" borderId="4" xfId="0" applyFont="1" applyFill="1" applyBorder="1" applyAlignment="1">
      <alignment vertical="top" wrapText="1"/>
    </xf>
    <xf numFmtId="0" fontId="8" fillId="0" borderId="0" xfId="0" applyFont="1" applyFill="1" applyBorder="1" applyAlignment="1">
      <alignment vertical="top" wrapText="1"/>
    </xf>
    <xf numFmtId="0" fontId="40" fillId="2" borderId="0" xfId="0" applyFont="1" applyFill="1" applyBorder="1" applyAlignment="1"/>
    <xf numFmtId="0" fontId="40" fillId="4" borderId="0" xfId="0" applyFont="1" applyFill="1" applyBorder="1" applyAlignment="1"/>
    <xf numFmtId="0" fontId="5" fillId="0" borderId="0" xfId="0" applyFont="1" applyFill="1" applyBorder="1"/>
    <xf numFmtId="0" fontId="40" fillId="0" borderId="0" xfId="0" applyFont="1" applyFill="1" applyBorder="1" applyAlignment="1">
      <alignment vertical="top"/>
    </xf>
    <xf numFmtId="0" fontId="40" fillId="0" borderId="0" xfId="0" applyFont="1" applyFill="1" applyBorder="1"/>
    <xf numFmtId="0" fontId="3" fillId="4" borderId="0" xfId="0" applyFont="1" applyFill="1" applyBorder="1"/>
    <xf numFmtId="0" fontId="40" fillId="0" borderId="0" xfId="0" applyFont="1" applyFill="1" applyBorder="1" applyAlignment="1"/>
    <xf numFmtId="0" fontId="0" fillId="0" borderId="0" xfId="0" applyFill="1"/>
    <xf numFmtId="0" fontId="45" fillId="0" borderId="0" xfId="0" applyFont="1"/>
    <xf numFmtId="0" fontId="44" fillId="17" borderId="50" xfId="0" applyFont="1" applyFill="1" applyBorder="1" applyAlignment="1">
      <alignment vertical="top" wrapText="1"/>
    </xf>
    <xf numFmtId="0" fontId="0" fillId="0" borderId="51" xfId="0" applyBorder="1"/>
    <xf numFmtId="179" fontId="0" fillId="0" borderId="51" xfId="0" applyNumberFormat="1" applyBorder="1"/>
    <xf numFmtId="9" fontId="0" fillId="0" borderId="51" xfId="9" applyFont="1" applyBorder="1"/>
    <xf numFmtId="1" fontId="0" fillId="0" borderId="51" xfId="9" applyNumberFormat="1" applyFont="1" applyBorder="1"/>
    <xf numFmtId="167" fontId="2" fillId="0" borderId="51" xfId="0" applyNumberFormat="1" applyFont="1" applyBorder="1"/>
    <xf numFmtId="167" fontId="0" fillId="0" borderId="51" xfId="0" applyNumberFormat="1" applyBorder="1"/>
    <xf numFmtId="2" fontId="46" fillId="0" borderId="51" xfId="0" applyNumberFormat="1" applyFont="1" applyBorder="1"/>
    <xf numFmtId="9" fontId="0" fillId="0" borderId="52" xfId="9" applyFont="1" applyBorder="1"/>
    <xf numFmtId="1" fontId="0" fillId="0" borderId="52" xfId="9" applyNumberFormat="1" applyFont="1" applyBorder="1"/>
    <xf numFmtId="167" fontId="2" fillId="0" borderId="52" xfId="0" applyNumberFormat="1" applyFont="1" applyBorder="1"/>
    <xf numFmtId="167" fontId="2" fillId="0" borderId="53" xfId="0" applyNumberFormat="1" applyFont="1" applyBorder="1"/>
    <xf numFmtId="0" fontId="19" fillId="0" borderId="1" xfId="0" applyFont="1" applyBorder="1" applyAlignment="1">
      <alignment horizontal="center" vertical="center" wrapText="1"/>
    </xf>
    <xf numFmtId="0" fontId="0" fillId="0" borderId="0" xfId="0" applyAlignment="1">
      <alignment wrapText="1"/>
    </xf>
    <xf numFmtId="3" fontId="0" fillId="0" borderId="53" xfId="0" applyNumberFormat="1" applyBorder="1" applyAlignment="1">
      <alignment vertical="center"/>
    </xf>
    <xf numFmtId="3" fontId="0" fillId="0" borderId="53" xfId="0" applyNumberFormat="1" applyBorder="1"/>
    <xf numFmtId="1" fontId="0" fillId="0" borderId="0" xfId="9" applyNumberFormat="1" applyFont="1" applyBorder="1"/>
    <xf numFmtId="167" fontId="2" fillId="0" borderId="0" xfId="0" applyNumberFormat="1" applyFont="1" applyBorder="1"/>
    <xf numFmtId="0" fontId="0" fillId="18" borderId="8" xfId="0" applyFill="1" applyBorder="1" applyAlignment="1">
      <alignment horizontal="left" vertical="center" wrapText="1"/>
    </xf>
    <xf numFmtId="0" fontId="0" fillId="18" borderId="8" xfId="0" applyFill="1" applyBorder="1" applyAlignment="1">
      <alignment vertical="center"/>
    </xf>
    <xf numFmtId="0" fontId="2" fillId="0" borderId="54" xfId="0" applyFont="1" applyFill="1" applyBorder="1" applyAlignment="1">
      <alignment horizontal="right"/>
    </xf>
    <xf numFmtId="0" fontId="0" fillId="0" borderId="49" xfId="0" applyBorder="1" applyAlignment="1">
      <alignment horizontal="left"/>
    </xf>
    <xf numFmtId="0" fontId="0" fillId="0" borderId="49" xfId="0" applyBorder="1" applyAlignment="1">
      <alignment horizontal="center"/>
    </xf>
    <xf numFmtId="0" fontId="0" fillId="0" borderId="15" xfId="0" applyBorder="1"/>
    <xf numFmtId="0" fontId="2" fillId="0" borderId="7" xfId="0" applyFont="1" applyBorder="1" applyAlignment="1">
      <alignment horizontal="right"/>
    </xf>
    <xf numFmtId="0" fontId="2" fillId="19" borderId="1" xfId="0" applyFont="1" applyFill="1" applyBorder="1" applyAlignment="1">
      <alignment horizontal="center"/>
    </xf>
    <xf numFmtId="0" fontId="44" fillId="17" borderId="50" xfId="0" applyFont="1" applyFill="1" applyBorder="1" applyAlignment="1">
      <alignment vertical="top"/>
    </xf>
    <xf numFmtId="0" fontId="0" fillId="0" borderId="55" xfId="0" applyBorder="1"/>
    <xf numFmtId="0" fontId="0" fillId="0" borderId="50" xfId="0" applyBorder="1"/>
    <xf numFmtId="1" fontId="0" fillId="0" borderId="50" xfId="0" applyNumberFormat="1" applyBorder="1"/>
    <xf numFmtId="167" fontId="2" fillId="19" borderId="50" xfId="0" applyNumberFormat="1" applyFont="1" applyFill="1" applyBorder="1"/>
    <xf numFmtId="167" fontId="0" fillId="0" borderId="50" xfId="0" applyNumberFormat="1" applyBorder="1"/>
    <xf numFmtId="0" fontId="3" fillId="0" borderId="0" xfId="0" applyFont="1" applyFill="1" applyAlignment="1">
      <alignment wrapText="1"/>
    </xf>
    <xf numFmtId="0" fontId="3" fillId="0" borderId="0" xfId="0" applyFont="1" applyFill="1" applyAlignment="1"/>
    <xf numFmtId="0" fontId="3" fillId="0" borderId="0" xfId="0" applyFont="1" applyAlignment="1">
      <alignment wrapText="1"/>
    </xf>
    <xf numFmtId="0" fontId="3" fillId="0" borderId="13" xfId="0" applyFont="1" applyBorder="1" applyAlignment="1">
      <alignment vertical="center" wrapText="1"/>
    </xf>
    <xf numFmtId="0" fontId="3" fillId="0" borderId="16" xfId="0" applyFont="1" applyBorder="1" applyAlignment="1">
      <alignment vertical="center" wrapText="1"/>
    </xf>
    <xf numFmtId="0" fontId="3" fillId="0" borderId="6" xfId="0" applyFont="1" applyBorder="1" applyAlignment="1">
      <alignment vertical="center" wrapText="1"/>
    </xf>
    <xf numFmtId="0" fontId="25" fillId="5" borderId="12" xfId="3" applyFont="1" applyFill="1" applyBorder="1" applyAlignment="1" applyProtection="1">
      <alignment horizontal="center" vertical="center" wrapText="1"/>
    </xf>
    <xf numFmtId="0" fontId="25" fillId="5" borderId="2" xfId="3" applyFont="1" applyFill="1" applyBorder="1" applyAlignment="1" applyProtection="1">
      <alignment horizontal="center" vertical="center" wrapText="1"/>
    </xf>
    <xf numFmtId="0" fontId="25" fillId="5" borderId="5" xfId="3" applyFont="1" applyFill="1" applyBorder="1" applyAlignment="1" applyProtection="1">
      <alignment horizontal="center" vertical="center" wrapText="1"/>
    </xf>
    <xf numFmtId="10" fontId="3" fillId="5" borderId="12" xfId="0" applyNumberFormat="1" applyFont="1" applyFill="1" applyBorder="1" applyAlignment="1">
      <alignment horizontal="center" vertical="center"/>
    </xf>
    <xf numFmtId="10" fontId="3" fillId="5" borderId="2" xfId="0" applyNumberFormat="1" applyFont="1" applyFill="1" applyBorder="1" applyAlignment="1">
      <alignment horizontal="center" vertical="center"/>
    </xf>
    <xf numFmtId="10" fontId="3" fillId="5" borderId="5" xfId="0" applyNumberFormat="1" applyFont="1" applyFill="1" applyBorder="1" applyAlignment="1">
      <alignment horizontal="center" vertical="center"/>
    </xf>
    <xf numFmtId="9" fontId="3" fillId="5" borderId="12" xfId="0" applyNumberFormat="1" applyFont="1" applyFill="1" applyBorder="1" applyAlignment="1">
      <alignment horizontal="center" vertical="center"/>
    </xf>
    <xf numFmtId="9" fontId="3" fillId="5" borderId="2" xfId="0" applyNumberFormat="1" applyFont="1" applyFill="1" applyBorder="1" applyAlignment="1">
      <alignment horizontal="center" vertical="center"/>
    </xf>
    <xf numFmtId="9" fontId="3" fillId="5" borderId="5" xfId="0" applyNumberFormat="1" applyFont="1" applyFill="1" applyBorder="1" applyAlignment="1">
      <alignment horizontal="center" vertical="center"/>
    </xf>
    <xf numFmtId="0" fontId="0" fillId="0" borderId="0" xfId="0" applyFill="1"/>
    <xf numFmtId="0" fontId="3" fillId="3" borderId="12" xfId="0" applyNumberFormat="1" applyFont="1" applyFill="1" applyBorder="1" applyAlignment="1">
      <alignment horizontal="center" vertical="center"/>
    </xf>
    <xf numFmtId="0" fontId="3" fillId="3" borderId="2" xfId="0" applyNumberFormat="1" applyFont="1" applyFill="1" applyBorder="1" applyAlignment="1">
      <alignment horizontal="center" vertical="center"/>
    </xf>
    <xf numFmtId="0" fontId="3" fillId="3" borderId="5" xfId="0" applyNumberFormat="1" applyFont="1" applyFill="1" applyBorder="1" applyAlignment="1">
      <alignment horizontal="center" vertical="center"/>
    </xf>
    <xf numFmtId="0" fontId="3" fillId="9" borderId="13" xfId="0" applyFont="1" applyFill="1" applyBorder="1" applyAlignment="1">
      <alignment vertical="center" wrapText="1"/>
    </xf>
    <xf numFmtId="0" fontId="3" fillId="9" borderId="16" xfId="0" applyFont="1" applyFill="1" applyBorder="1" applyAlignment="1">
      <alignment vertical="center" wrapText="1"/>
    </xf>
    <xf numFmtId="0" fontId="3" fillId="9" borderId="6" xfId="0" applyFont="1" applyFill="1" applyBorder="1" applyAlignment="1">
      <alignment vertical="center" wrapText="1"/>
    </xf>
    <xf numFmtId="10" fontId="3" fillId="0" borderId="12" xfId="0" applyNumberFormat="1" applyFont="1" applyFill="1" applyBorder="1" applyAlignment="1">
      <alignment horizontal="center" vertical="center"/>
    </xf>
    <xf numFmtId="10" fontId="3" fillId="0" borderId="2" xfId="0" applyNumberFormat="1" applyFont="1" applyFill="1" applyBorder="1" applyAlignment="1">
      <alignment horizontal="center" vertical="center"/>
    </xf>
    <xf numFmtId="10" fontId="3" fillId="0" borderId="5" xfId="0" applyNumberFormat="1" applyFont="1" applyFill="1" applyBorder="1" applyAlignment="1">
      <alignment horizontal="center" vertical="center"/>
    </xf>
    <xf numFmtId="10" fontId="3" fillId="3" borderId="12" xfId="0" applyNumberFormat="1" applyFont="1" applyFill="1" applyBorder="1" applyAlignment="1">
      <alignment horizontal="center" vertical="center"/>
    </xf>
    <xf numFmtId="10" fontId="3" fillId="3" borderId="2" xfId="0" applyNumberFormat="1" applyFont="1" applyFill="1" applyBorder="1" applyAlignment="1">
      <alignment horizontal="center" vertical="center"/>
    </xf>
    <xf numFmtId="10" fontId="3" fillId="3" borderId="5" xfId="0" applyNumberFormat="1" applyFont="1" applyFill="1" applyBorder="1" applyAlignment="1">
      <alignment horizontal="center" vertical="center"/>
    </xf>
    <xf numFmtId="10" fontId="3" fillId="0" borderId="12" xfId="0" applyNumberFormat="1" applyFont="1" applyBorder="1" applyAlignment="1">
      <alignment horizontal="center" vertical="center"/>
    </xf>
    <xf numFmtId="10" fontId="3" fillId="0" borderId="2" xfId="0" applyNumberFormat="1" applyFont="1" applyBorder="1" applyAlignment="1">
      <alignment horizontal="center" vertical="center"/>
    </xf>
    <xf numFmtId="10" fontId="3" fillId="0" borderId="5" xfId="0" applyNumberFormat="1" applyFont="1" applyBorder="1" applyAlignment="1">
      <alignment horizontal="center" vertical="center"/>
    </xf>
    <xf numFmtId="0" fontId="3" fillId="0" borderId="0" xfId="0" applyFont="1" applyFill="1" applyAlignment="1">
      <alignment horizontal="left"/>
    </xf>
    <xf numFmtId="0" fontId="19" fillId="10" borderId="13" xfId="0" applyFont="1" applyFill="1" applyBorder="1" applyAlignment="1">
      <alignment vertical="center" wrapText="1"/>
    </xf>
    <xf numFmtId="0" fontId="19" fillId="10" borderId="16" xfId="0" applyFont="1" applyFill="1" applyBorder="1" applyAlignment="1">
      <alignment vertical="center" wrapText="1"/>
    </xf>
    <xf numFmtId="0" fontId="19" fillId="10" borderId="6" xfId="0" applyFont="1" applyFill="1" applyBorder="1" applyAlignment="1">
      <alignment vertical="center" wrapText="1"/>
    </xf>
    <xf numFmtId="9" fontId="0" fillId="0" borderId="0" xfId="0" applyNumberFormat="1" applyFill="1" applyAlignment="1">
      <alignment horizontal="center" vertical="center"/>
    </xf>
    <xf numFmtId="0" fontId="0" fillId="0" borderId="0" xfId="0" applyFill="1" applyAlignment="1">
      <alignment horizontal="center" vertical="center"/>
    </xf>
    <xf numFmtId="9" fontId="25" fillId="5" borderId="12" xfId="9" applyFont="1" applyFill="1" applyBorder="1" applyAlignment="1" applyProtection="1">
      <alignment horizontal="center" vertical="center" wrapText="1"/>
    </xf>
    <xf numFmtId="9" fontId="25" fillId="5" borderId="2" xfId="9" applyFont="1" applyFill="1" applyBorder="1" applyAlignment="1" applyProtection="1">
      <alignment horizontal="center" vertical="center" wrapText="1"/>
    </xf>
    <xf numFmtId="9" fontId="25" fillId="5" borderId="5" xfId="9" applyFont="1" applyFill="1" applyBorder="1" applyAlignment="1" applyProtection="1">
      <alignment horizontal="center" vertical="center" wrapText="1"/>
    </xf>
    <xf numFmtId="0" fontId="3" fillId="10" borderId="13" xfId="0" applyFont="1" applyFill="1" applyBorder="1" applyAlignment="1">
      <alignment vertical="center" wrapText="1"/>
    </xf>
    <xf numFmtId="0" fontId="3" fillId="10" borderId="16" xfId="0" applyFont="1" applyFill="1" applyBorder="1" applyAlignment="1">
      <alignment vertical="center" wrapText="1"/>
    </xf>
    <xf numFmtId="0" fontId="3" fillId="10" borderId="6" xfId="0" applyFont="1" applyFill="1" applyBorder="1" applyAlignment="1">
      <alignment vertical="center" wrapText="1"/>
    </xf>
    <xf numFmtId="0" fontId="8" fillId="0" borderId="0" xfId="4" applyFont="1" applyFill="1" applyAlignment="1">
      <alignment wrapText="1"/>
    </xf>
    <xf numFmtId="0" fontId="10" fillId="0" borderId="10" xfId="0" applyFont="1" applyBorder="1" applyAlignment="1">
      <alignment horizontal="center" vertical="top" wrapText="1"/>
    </xf>
    <xf numFmtId="0" fontId="10" fillId="0" borderId="3" xfId="0" applyFont="1" applyBorder="1" applyAlignment="1">
      <alignment horizontal="center" vertical="top" wrapText="1"/>
    </xf>
    <xf numFmtId="0" fontId="10" fillId="0" borderId="11" xfId="0" applyFont="1" applyBorder="1" applyAlignment="1">
      <alignment horizontal="center" vertical="top" wrapText="1"/>
    </xf>
    <xf numFmtId="0" fontId="10" fillId="3" borderId="1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14" xfId="0" applyFont="1" applyFill="1" applyBorder="1" applyAlignment="1">
      <alignment horizontal="center" vertical="top" wrapText="1"/>
    </xf>
    <xf numFmtId="0" fontId="42" fillId="0" borderId="0" xfId="0" applyFont="1" applyFill="1" applyAlignment="1"/>
    <xf numFmtId="0" fontId="8" fillId="0" borderId="0" xfId="0" applyFont="1" applyFill="1" applyAlignment="1">
      <alignment wrapText="1"/>
    </xf>
    <xf numFmtId="0" fontId="8" fillId="0" borderId="0" xfId="0" applyFont="1" applyFill="1" applyAlignment="1">
      <alignment vertical="top" wrapText="1"/>
    </xf>
    <xf numFmtId="0" fontId="10" fillId="0" borderId="0" xfId="0" applyFont="1" applyFill="1" applyAlignment="1"/>
    <xf numFmtId="0" fontId="8" fillId="0" borderId="0" xfId="0" applyFont="1" applyFill="1" applyAlignment="1"/>
    <xf numFmtId="0" fontId="8" fillId="0" borderId="0" xfId="0" applyFont="1" applyFill="1" applyAlignment="1">
      <alignment vertical="center" wrapText="1"/>
    </xf>
    <xf numFmtId="0" fontId="5" fillId="0" borderId="0" xfId="0" applyFont="1" applyFill="1" applyAlignment="1">
      <alignment horizontal="left"/>
    </xf>
    <xf numFmtId="0" fontId="38" fillId="0" borderId="10" xfId="0" applyFont="1" applyBorder="1" applyAlignment="1">
      <alignment horizontal="center"/>
    </xf>
    <xf numFmtId="0" fontId="38" fillId="0" borderId="3" xfId="0" applyFont="1" applyBorder="1" applyAlignment="1">
      <alignment horizontal="center"/>
    </xf>
    <xf numFmtId="0" fontId="38" fillId="0" borderId="11" xfId="0" applyFont="1" applyBorder="1" applyAlignment="1">
      <alignment horizontal="center"/>
    </xf>
    <xf numFmtId="178" fontId="7" fillId="0" borderId="12" xfId="0" applyNumberFormat="1" applyFont="1" applyFill="1" applyBorder="1" applyAlignment="1">
      <alignment horizontal="center" vertical="center" wrapText="1"/>
    </xf>
    <xf numFmtId="178" fontId="7" fillId="0" borderId="5" xfId="0" applyNumberFormat="1" applyFont="1" applyFill="1" applyBorder="1" applyAlignment="1">
      <alignment horizontal="center" vertical="center" wrapText="1"/>
    </xf>
    <xf numFmtId="0" fontId="31" fillId="11" borderId="28" xfId="6" applyFont="1" applyFill="1" applyBorder="1" applyAlignment="1">
      <alignment horizontal="center" vertical="top" wrapText="1"/>
    </xf>
    <xf numFmtId="0" fontId="31" fillId="11" borderId="29" xfId="6" applyFont="1" applyFill="1" applyBorder="1" applyAlignment="1">
      <alignment horizontal="center" vertical="top" wrapText="1"/>
    </xf>
    <xf numFmtId="0" fontId="30" fillId="11" borderId="28" xfId="6" applyFont="1" applyFill="1" applyBorder="1" applyAlignment="1">
      <alignment horizontal="right" vertical="center" wrapText="1"/>
    </xf>
    <xf numFmtId="0" fontId="30" fillId="11" borderId="30" xfId="6" applyFont="1" applyFill="1" applyBorder="1" applyAlignment="1">
      <alignment horizontal="right" vertical="center" wrapText="1"/>
    </xf>
    <xf numFmtId="0" fontId="31" fillId="11" borderId="30" xfId="6" applyFont="1" applyFill="1" applyBorder="1" applyAlignment="1">
      <alignment horizontal="center" vertical="top" wrapText="1"/>
    </xf>
    <xf numFmtId="0" fontId="30" fillId="11" borderId="26" xfId="6" applyFont="1" applyFill="1" applyBorder="1" applyAlignment="1">
      <alignment horizontal="right" vertical="center" wrapText="1"/>
    </xf>
    <xf numFmtId="0" fontId="30" fillId="11" borderId="27" xfId="6" applyFont="1" applyFill="1" applyBorder="1" applyAlignment="1">
      <alignment horizontal="right" vertical="center" wrapText="1"/>
    </xf>
    <xf numFmtId="0" fontId="30" fillId="11" borderId="31" xfId="6" applyFont="1" applyFill="1" applyBorder="1" applyAlignment="1">
      <alignment horizontal="right" vertical="center" wrapText="1"/>
    </xf>
    <xf numFmtId="0" fontId="30" fillId="11" borderId="32" xfId="6" applyFont="1" applyFill="1" applyBorder="1" applyAlignment="1">
      <alignment horizontal="right" vertical="center" wrapText="1"/>
    </xf>
    <xf numFmtId="0" fontId="30" fillId="11" borderId="34" xfId="6" applyFont="1" applyFill="1" applyBorder="1" applyAlignment="1">
      <alignment horizontal="right" vertical="center" wrapText="1"/>
    </xf>
    <xf numFmtId="0" fontId="30" fillId="11" borderId="35" xfId="6" applyFont="1" applyFill="1" applyBorder="1" applyAlignment="1">
      <alignment horizontal="right" vertical="center" wrapText="1"/>
    </xf>
    <xf numFmtId="0" fontId="30" fillId="11" borderId="26" xfId="6" applyFont="1" applyFill="1" applyBorder="1" applyAlignment="1">
      <alignment horizontal="center" vertical="center" wrapText="1"/>
    </xf>
    <xf numFmtId="0" fontId="30" fillId="11" borderId="33" xfId="6" applyFont="1" applyFill="1" applyBorder="1" applyAlignment="1">
      <alignment horizontal="center" vertical="center" wrapText="1"/>
    </xf>
    <xf numFmtId="0" fontId="30" fillId="11" borderId="27" xfId="6" applyFont="1" applyFill="1" applyBorder="1" applyAlignment="1">
      <alignment horizontal="center" vertical="center" wrapText="1"/>
    </xf>
    <xf numFmtId="0" fontId="30" fillId="11" borderId="34" xfId="6" applyFont="1" applyFill="1" applyBorder="1" applyAlignment="1">
      <alignment horizontal="center" vertical="center" wrapText="1"/>
    </xf>
    <xf numFmtId="0" fontId="30" fillId="11" borderId="36" xfId="6" applyFont="1" applyFill="1" applyBorder="1" applyAlignment="1">
      <alignment horizontal="center" vertical="center" wrapText="1"/>
    </xf>
    <xf numFmtId="0" fontId="30" fillId="11" borderId="35" xfId="6" applyFont="1" applyFill="1" applyBorder="1" applyAlignment="1">
      <alignment horizontal="center" vertical="center" wrapText="1"/>
    </xf>
    <xf numFmtId="0" fontId="15" fillId="2" borderId="1" xfId="0" applyFont="1" applyFill="1" applyBorder="1" applyAlignment="1">
      <alignment horizontal="right" vertical="top" wrapText="1"/>
    </xf>
    <xf numFmtId="0" fontId="15" fillId="2" borderId="3" xfId="0" applyFont="1" applyFill="1" applyBorder="1" applyAlignment="1">
      <alignment horizontal="right" vertical="top" wrapText="1"/>
    </xf>
    <xf numFmtId="0" fontId="15" fillId="2" borderId="11" xfId="0" applyFont="1" applyFill="1" applyBorder="1" applyAlignment="1">
      <alignment horizontal="right" vertical="top" wrapText="1"/>
    </xf>
    <xf numFmtId="0" fontId="40" fillId="2" borderId="1" xfId="0" applyFont="1" applyFill="1" applyBorder="1" applyAlignment="1">
      <alignment horizontal="right" vertical="center"/>
    </xf>
    <xf numFmtId="0" fontId="15" fillId="2" borderId="10" xfId="0" applyFont="1" applyFill="1" applyBorder="1" applyAlignment="1">
      <alignment horizontal="right" vertical="top" wrapText="1"/>
    </xf>
    <xf numFmtId="0" fontId="40" fillId="2" borderId="2" xfId="0" applyFont="1" applyFill="1" applyBorder="1" applyAlignment="1">
      <alignment horizontal="right" vertical="center"/>
    </xf>
    <xf numFmtId="0" fontId="14" fillId="0" borderId="16" xfId="0" applyFont="1" applyBorder="1"/>
    <xf numFmtId="170" fontId="14" fillId="0" borderId="17" xfId="0" applyNumberFormat="1" applyFont="1" applyBorder="1"/>
    <xf numFmtId="0" fontId="40" fillId="2" borderId="2" xfId="0" applyFont="1" applyFill="1" applyBorder="1"/>
    <xf numFmtId="177" fontId="15" fillId="2" borderId="11" xfId="2" applyNumberFormat="1" applyFont="1" applyFill="1" applyBorder="1" applyAlignment="1">
      <alignment horizontal="right" vertical="top" wrapText="1"/>
    </xf>
    <xf numFmtId="0" fontId="14" fillId="0" borderId="0" xfId="0" applyFont="1" applyAlignment="1">
      <alignment horizontal="right" vertical="center"/>
    </xf>
    <xf numFmtId="170" fontId="15" fillId="2" borderId="11" xfId="2" applyNumberFormat="1" applyFont="1" applyFill="1" applyBorder="1" applyAlignment="1">
      <alignment horizontal="right" vertical="top" wrapText="1"/>
    </xf>
    <xf numFmtId="182" fontId="8" fillId="0" borderId="0" xfId="1" applyNumberFormat="1" applyFont="1" applyBorder="1" applyAlignment="1">
      <alignment vertical="top"/>
    </xf>
    <xf numFmtId="182" fontId="8" fillId="0" borderId="0" xfId="1" applyNumberFormat="1" applyFont="1" applyBorder="1" applyAlignment="1">
      <alignment horizontal="right" vertical="top"/>
    </xf>
  </cellXfs>
  <cellStyles count="11">
    <cellStyle name="Comma" xfId="1" builtinId="3"/>
    <cellStyle name="Comma 2" xfId="10"/>
    <cellStyle name="Currency" xfId="2" builtinId="4"/>
    <cellStyle name="Hyperlink" xfId="3" builtinId="8"/>
    <cellStyle name="Hyperlink 2" xfId="5"/>
    <cellStyle name="Normal" xfId="0" builtinId="0"/>
    <cellStyle name="Normal 11" xfId="7"/>
    <cellStyle name="Normal 2" xfId="6"/>
    <cellStyle name="Normal 2 2" xfId="4"/>
    <cellStyle name="Percent" xfId="9" builtinId="5"/>
    <cellStyle name="Percent 10 2" xfId="8"/>
  </cellStyles>
  <dxfs count="1">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14</xdr:col>
      <xdr:colOff>85725</xdr:colOff>
      <xdr:row>11</xdr:row>
      <xdr:rowOff>114300</xdr:rowOff>
    </xdr:from>
    <xdr:to>
      <xdr:col>16</xdr:col>
      <xdr:colOff>112059</xdr:colOff>
      <xdr:row>22</xdr:row>
      <xdr:rowOff>112059</xdr:rowOff>
    </xdr:to>
    <xdr:cxnSp macro="">
      <xdr:nvCxnSpPr>
        <xdr:cNvPr id="25" name="Straight Arrow Connector 24">
          <a:extLst>
            <a:ext uri="{FF2B5EF4-FFF2-40B4-BE49-F238E27FC236}">
              <a16:creationId xmlns:a16="http://schemas.microsoft.com/office/drawing/2014/main" id="{A027D2A1-326F-4276-8CCE-134F1E7C685D}"/>
            </a:ext>
          </a:extLst>
        </xdr:cNvPr>
        <xdr:cNvCxnSpPr/>
      </xdr:nvCxnSpPr>
      <xdr:spPr>
        <a:xfrm>
          <a:off x="13315950" y="3028950"/>
          <a:ext cx="1245534" cy="20265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552450</xdr:colOff>
      <xdr:row>12</xdr:row>
      <xdr:rowOff>66675</xdr:rowOff>
    </xdr:from>
    <xdr:to>
      <xdr:col>12</xdr:col>
      <xdr:colOff>581025</xdr:colOff>
      <xdr:row>19</xdr:row>
      <xdr:rowOff>85725</xdr:rowOff>
    </xdr:to>
    <xdr:cxnSp macro="">
      <xdr:nvCxnSpPr>
        <xdr:cNvPr id="27" name="Straight Arrow Connector 26">
          <a:extLst>
            <a:ext uri="{FF2B5EF4-FFF2-40B4-BE49-F238E27FC236}">
              <a16:creationId xmlns:a16="http://schemas.microsoft.com/office/drawing/2014/main" id="{DAC08A8F-6B7A-40E3-9E52-C7578521AD36}"/>
            </a:ext>
          </a:extLst>
        </xdr:cNvPr>
        <xdr:cNvCxnSpPr/>
      </xdr:nvCxnSpPr>
      <xdr:spPr>
        <a:xfrm flipH="1">
          <a:off x="11601450" y="3162300"/>
          <a:ext cx="781050" cy="13239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57150</xdr:colOff>
      <xdr:row>12</xdr:row>
      <xdr:rowOff>66675</xdr:rowOff>
    </xdr:from>
    <xdr:to>
      <xdr:col>15</xdr:col>
      <xdr:colOff>276225</xdr:colOff>
      <xdr:row>25</xdr:row>
      <xdr:rowOff>85725</xdr:rowOff>
    </xdr:to>
    <xdr:cxnSp macro="">
      <xdr:nvCxnSpPr>
        <xdr:cNvPr id="28" name="Straight Arrow Connector 27">
          <a:extLst>
            <a:ext uri="{FF2B5EF4-FFF2-40B4-BE49-F238E27FC236}">
              <a16:creationId xmlns:a16="http://schemas.microsoft.com/office/drawing/2014/main" id="{9B4433E8-4313-4558-B318-45C8A6EA0369}"/>
            </a:ext>
          </a:extLst>
        </xdr:cNvPr>
        <xdr:cNvCxnSpPr/>
      </xdr:nvCxnSpPr>
      <xdr:spPr>
        <a:xfrm>
          <a:off x="13287375" y="3162300"/>
          <a:ext cx="828675" cy="24098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547688</xdr:colOff>
      <xdr:row>11</xdr:row>
      <xdr:rowOff>142875</xdr:rowOff>
    </xdr:from>
    <xdr:to>
      <xdr:col>12</xdr:col>
      <xdr:colOff>561975</xdr:colOff>
      <xdr:row>16</xdr:row>
      <xdr:rowOff>71437</xdr:rowOff>
    </xdr:to>
    <xdr:cxnSp macro="">
      <xdr:nvCxnSpPr>
        <xdr:cNvPr id="30" name="Straight Arrow Connector 29">
          <a:extLst>
            <a:ext uri="{FF2B5EF4-FFF2-40B4-BE49-F238E27FC236}">
              <a16:creationId xmlns:a16="http://schemas.microsoft.com/office/drawing/2014/main" id="{A90F1963-72C6-404E-A053-BAC6D8960D8C}"/>
            </a:ext>
          </a:extLst>
        </xdr:cNvPr>
        <xdr:cNvCxnSpPr/>
      </xdr:nvCxnSpPr>
      <xdr:spPr>
        <a:xfrm flipH="1">
          <a:off x="10987088" y="3057525"/>
          <a:ext cx="1376362" cy="8715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416719</xdr:colOff>
      <xdr:row>12</xdr:row>
      <xdr:rowOff>59531</xdr:rowOff>
    </xdr:from>
    <xdr:to>
      <xdr:col>13</xdr:col>
      <xdr:colOff>417789</xdr:colOff>
      <xdr:row>13</xdr:row>
      <xdr:rowOff>135028</xdr:rowOff>
    </xdr:to>
    <xdr:cxnSp macro="">
      <xdr:nvCxnSpPr>
        <xdr:cNvPr id="31" name="Straight Arrow Connector 30">
          <a:extLst>
            <a:ext uri="{FF2B5EF4-FFF2-40B4-BE49-F238E27FC236}">
              <a16:creationId xmlns:a16="http://schemas.microsoft.com/office/drawing/2014/main" id="{D825DDF0-B915-4D14-99E4-EDADFFF65279}"/>
            </a:ext>
          </a:extLst>
        </xdr:cNvPr>
        <xdr:cNvCxnSpPr/>
      </xdr:nvCxnSpPr>
      <xdr:spPr>
        <a:xfrm>
          <a:off x="11903869" y="3155156"/>
          <a:ext cx="1070" cy="25647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142875</xdr:colOff>
      <xdr:row>11</xdr:row>
      <xdr:rowOff>142875</xdr:rowOff>
    </xdr:from>
    <xdr:to>
      <xdr:col>32</xdr:col>
      <xdr:colOff>112059</xdr:colOff>
      <xdr:row>22</xdr:row>
      <xdr:rowOff>112059</xdr:rowOff>
    </xdr:to>
    <xdr:cxnSp macro="">
      <xdr:nvCxnSpPr>
        <xdr:cNvPr id="47" name="Straight Arrow Connector 46">
          <a:extLst>
            <a:ext uri="{FF2B5EF4-FFF2-40B4-BE49-F238E27FC236}">
              <a16:creationId xmlns:a16="http://schemas.microsoft.com/office/drawing/2014/main" id="{D7D1603A-1326-44BD-ADE8-AA8B912336EC}"/>
            </a:ext>
          </a:extLst>
        </xdr:cNvPr>
        <xdr:cNvCxnSpPr/>
      </xdr:nvCxnSpPr>
      <xdr:spPr>
        <a:xfrm>
          <a:off x="24945975" y="3057525"/>
          <a:ext cx="1188384" cy="199800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438150</xdr:colOff>
      <xdr:row>12</xdr:row>
      <xdr:rowOff>85725</xdr:rowOff>
    </xdr:from>
    <xdr:to>
      <xdr:col>28</xdr:col>
      <xdr:colOff>600075</xdr:colOff>
      <xdr:row>19</xdr:row>
      <xdr:rowOff>28575</xdr:rowOff>
    </xdr:to>
    <xdr:cxnSp macro="">
      <xdr:nvCxnSpPr>
        <xdr:cNvPr id="49" name="Straight Arrow Connector 48">
          <a:extLst>
            <a:ext uri="{FF2B5EF4-FFF2-40B4-BE49-F238E27FC236}">
              <a16:creationId xmlns:a16="http://schemas.microsoft.com/office/drawing/2014/main" id="{9E5939DA-114B-4591-AC1F-154915364519}"/>
            </a:ext>
          </a:extLst>
        </xdr:cNvPr>
        <xdr:cNvCxnSpPr/>
      </xdr:nvCxnSpPr>
      <xdr:spPr>
        <a:xfrm flipH="1">
          <a:off x="23060025" y="3181350"/>
          <a:ext cx="914400" cy="12477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66675</xdr:colOff>
      <xdr:row>12</xdr:row>
      <xdr:rowOff>142875</xdr:rowOff>
    </xdr:from>
    <xdr:to>
      <xdr:col>31</xdr:col>
      <xdr:colOff>171450</xdr:colOff>
      <xdr:row>25</xdr:row>
      <xdr:rowOff>104775</xdr:rowOff>
    </xdr:to>
    <xdr:cxnSp macro="">
      <xdr:nvCxnSpPr>
        <xdr:cNvPr id="50" name="Straight Arrow Connector 49">
          <a:extLst>
            <a:ext uri="{FF2B5EF4-FFF2-40B4-BE49-F238E27FC236}">
              <a16:creationId xmlns:a16="http://schemas.microsoft.com/office/drawing/2014/main" id="{52461BC8-A5F3-4AF9-97DA-9AA3DB0ADDE1}"/>
            </a:ext>
          </a:extLst>
        </xdr:cNvPr>
        <xdr:cNvCxnSpPr/>
      </xdr:nvCxnSpPr>
      <xdr:spPr>
        <a:xfrm>
          <a:off x="24869775" y="3238500"/>
          <a:ext cx="714375" cy="23526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547688</xdr:colOff>
      <xdr:row>11</xdr:row>
      <xdr:rowOff>142875</xdr:rowOff>
    </xdr:from>
    <xdr:to>
      <xdr:col>28</xdr:col>
      <xdr:colOff>504825</xdr:colOff>
      <xdr:row>16</xdr:row>
      <xdr:rowOff>71437</xdr:rowOff>
    </xdr:to>
    <xdr:cxnSp macro="">
      <xdr:nvCxnSpPr>
        <xdr:cNvPr id="52" name="Straight Arrow Connector 51">
          <a:extLst>
            <a:ext uri="{FF2B5EF4-FFF2-40B4-BE49-F238E27FC236}">
              <a16:creationId xmlns:a16="http://schemas.microsoft.com/office/drawing/2014/main" id="{D4DDB249-4D8D-41D3-9E44-0CF3A6E0594E}"/>
            </a:ext>
          </a:extLst>
        </xdr:cNvPr>
        <xdr:cNvCxnSpPr/>
      </xdr:nvCxnSpPr>
      <xdr:spPr>
        <a:xfrm flipH="1">
          <a:off x="22559963" y="3057525"/>
          <a:ext cx="1319212" cy="8715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416719</xdr:colOff>
      <xdr:row>12</xdr:row>
      <xdr:rowOff>59531</xdr:rowOff>
    </xdr:from>
    <xdr:to>
      <xdr:col>29</xdr:col>
      <xdr:colOff>417789</xdr:colOff>
      <xdr:row>13</xdr:row>
      <xdr:rowOff>135028</xdr:rowOff>
    </xdr:to>
    <xdr:cxnSp macro="">
      <xdr:nvCxnSpPr>
        <xdr:cNvPr id="53" name="Straight Arrow Connector 52">
          <a:extLst>
            <a:ext uri="{FF2B5EF4-FFF2-40B4-BE49-F238E27FC236}">
              <a16:creationId xmlns:a16="http://schemas.microsoft.com/office/drawing/2014/main" id="{834C109D-0853-4C2C-A317-11DFC8B3D130}"/>
            </a:ext>
          </a:extLst>
        </xdr:cNvPr>
        <xdr:cNvCxnSpPr/>
      </xdr:nvCxnSpPr>
      <xdr:spPr>
        <a:xfrm>
          <a:off x="16859250" y="3155156"/>
          <a:ext cx="0" cy="25647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itlePag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Pag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hyperlink" Target="http://stats.oecd.org/" TargetMode="External"/><Relationship Id="rId1" Type="http://schemas.openxmlformats.org/officeDocument/2006/relationships/hyperlink" Target="http://localhost/OECDStat_Metadata/ShowMetadata.ashx?Dataset=PPPGDP&amp;ShowOnWeb=true&amp;Lang=en"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S34"/>
  <sheetViews>
    <sheetView tabSelected="1" topLeftCell="C1" workbookViewId="0">
      <selection activeCell="D12" sqref="D12"/>
    </sheetView>
  </sheetViews>
  <sheetFormatPr defaultRowHeight="15" x14ac:dyDescent="0.25"/>
  <cols>
    <col min="2" max="2" width="12.85546875" bestFit="1" customWidth="1"/>
    <col min="3" max="3" width="32.5703125" bestFit="1" customWidth="1"/>
    <col min="4" max="4" width="17.85546875" customWidth="1"/>
    <col min="5" max="5" width="13.7109375" customWidth="1"/>
    <col min="6" max="6" width="13.85546875" customWidth="1"/>
    <col min="7" max="7" width="14.85546875" customWidth="1"/>
    <col min="8" max="8" width="18.28515625" customWidth="1"/>
    <col min="13" max="14" width="33.28515625" customWidth="1"/>
    <col min="15" max="15" width="14.28515625" bestFit="1" customWidth="1"/>
    <col min="17" max="17" width="41.5703125" customWidth="1"/>
    <col min="18" max="18" width="16.140625" customWidth="1"/>
    <col min="19" max="20" width="16.28515625" customWidth="1"/>
  </cols>
  <sheetData>
    <row r="2" spans="2:19" ht="18" x14ac:dyDescent="0.25">
      <c r="B2" s="4"/>
      <c r="C2" s="2" t="s">
        <v>0</v>
      </c>
      <c r="D2" s="4"/>
      <c r="E2" s="4"/>
      <c r="F2" s="4"/>
      <c r="G2" s="4"/>
      <c r="H2" s="4"/>
      <c r="I2" s="4"/>
    </row>
    <row r="3" spans="2:19" ht="15.75" thickBot="1" x14ac:dyDescent="0.3">
      <c r="B3" s="5"/>
      <c r="C3" s="6"/>
      <c r="D3" s="5"/>
      <c r="E3" s="5"/>
      <c r="F3" s="5"/>
      <c r="G3" s="5"/>
      <c r="H3" s="5"/>
      <c r="I3" s="5"/>
    </row>
    <row r="4" spans="2:19" ht="15.75" thickBot="1" x14ac:dyDescent="0.3">
      <c r="B4" s="5"/>
      <c r="C4" s="6"/>
      <c r="D4" s="38" t="s">
        <v>418</v>
      </c>
      <c r="E4" s="39">
        <v>10</v>
      </c>
      <c r="F4" s="5"/>
      <c r="G4" s="5"/>
      <c r="H4" s="5"/>
      <c r="I4" s="5"/>
    </row>
    <row r="5" spans="2:19" x14ac:dyDescent="0.25">
      <c r="B5" s="5"/>
      <c r="C5" s="7" t="s">
        <v>20</v>
      </c>
      <c r="D5" s="5"/>
      <c r="E5" s="5"/>
      <c r="F5" s="5"/>
      <c r="G5" s="5"/>
      <c r="H5" s="5"/>
      <c r="I5" s="5"/>
    </row>
    <row r="6" spans="2:19" ht="45" x14ac:dyDescent="0.25">
      <c r="B6" s="8"/>
      <c r="C6" s="9"/>
      <c r="D6" s="10" t="s">
        <v>1</v>
      </c>
      <c r="E6" s="11" t="s">
        <v>2</v>
      </c>
      <c r="F6" s="11" t="s">
        <v>3</v>
      </c>
      <c r="G6" s="11" t="s">
        <v>4</v>
      </c>
      <c r="H6" s="11" t="s">
        <v>5</v>
      </c>
      <c r="I6" s="8"/>
    </row>
    <row r="7" spans="2:19" x14ac:dyDescent="0.25">
      <c r="B7" s="5"/>
      <c r="C7" s="9" t="s">
        <v>21</v>
      </c>
      <c r="D7" s="12">
        <v>0</v>
      </c>
      <c r="E7" s="12">
        <f>3000*E4</f>
        <v>30000</v>
      </c>
      <c r="F7" s="12">
        <f>(E7+D7)/10</f>
        <v>3000</v>
      </c>
      <c r="G7" s="12">
        <v>200</v>
      </c>
      <c r="H7" s="13">
        <f>F7/G7</f>
        <v>15</v>
      </c>
      <c r="I7" s="5"/>
    </row>
    <row r="8" spans="2:19" x14ac:dyDescent="0.25">
      <c r="B8" s="5"/>
      <c r="C8" s="14"/>
      <c r="D8" s="15"/>
      <c r="E8" s="15"/>
      <c r="F8" s="15"/>
      <c r="G8" s="15"/>
      <c r="H8" s="15"/>
      <c r="I8" s="16"/>
    </row>
    <row r="9" spans="2:19" x14ac:dyDescent="0.25">
      <c r="B9" s="5"/>
      <c r="C9" s="7" t="s">
        <v>217</v>
      </c>
      <c r="D9" s="15"/>
      <c r="E9" s="15"/>
      <c r="F9" s="15"/>
      <c r="G9" s="15"/>
      <c r="H9" s="15"/>
      <c r="I9" s="16"/>
    </row>
    <row r="10" spans="2:19" ht="45" x14ac:dyDescent="0.25">
      <c r="B10" s="8"/>
      <c r="C10" s="9"/>
      <c r="D10" s="10" t="s">
        <v>1</v>
      </c>
      <c r="E10" s="11"/>
      <c r="F10" s="11"/>
      <c r="G10" s="11" t="s">
        <v>4</v>
      </c>
      <c r="H10" s="11" t="s">
        <v>5</v>
      </c>
      <c r="I10" s="8"/>
      <c r="N10" s="347"/>
    </row>
    <row r="11" spans="2:19" x14ac:dyDescent="0.25">
      <c r="B11" s="5"/>
      <c r="C11" s="17" t="s">
        <v>22</v>
      </c>
      <c r="D11" s="18">
        <v>300</v>
      </c>
      <c r="E11" s="19"/>
      <c r="F11" s="19"/>
      <c r="G11" s="12">
        <v>200</v>
      </c>
      <c r="H11" s="20">
        <f>D11</f>
        <v>300</v>
      </c>
      <c r="I11" s="5"/>
    </row>
    <row r="12" spans="2:19" x14ac:dyDescent="0.25">
      <c r="B12" s="5"/>
      <c r="C12" s="21"/>
      <c r="D12" s="22"/>
      <c r="E12" s="23"/>
      <c r="F12" s="23"/>
      <c r="G12" s="23"/>
      <c r="H12" s="24"/>
      <c r="I12" s="5"/>
    </row>
    <row r="13" spans="2:19" x14ac:dyDescent="0.25">
      <c r="B13" s="5"/>
      <c r="C13" s="25" t="s">
        <v>303</v>
      </c>
      <c r="D13" s="26"/>
      <c r="E13" s="22"/>
      <c r="F13" s="22"/>
      <c r="G13" s="22"/>
      <c r="H13" s="27">
        <f>H11+H7</f>
        <v>315</v>
      </c>
      <c r="I13" s="5"/>
    </row>
    <row r="14" spans="2:19" x14ac:dyDescent="0.25">
      <c r="B14" s="5"/>
      <c r="C14" s="5"/>
      <c r="D14" s="5"/>
      <c r="E14" s="5"/>
      <c r="F14" s="5"/>
      <c r="G14" s="5"/>
      <c r="H14" s="5"/>
      <c r="I14" s="5"/>
      <c r="S14" t="s">
        <v>216</v>
      </c>
    </row>
    <row r="15" spans="2:19" x14ac:dyDescent="0.25">
      <c r="B15" s="5"/>
      <c r="C15" s="7" t="s">
        <v>147</v>
      </c>
      <c r="D15" s="5"/>
      <c r="E15" s="5"/>
      <c r="F15" s="5"/>
      <c r="G15" s="5"/>
      <c r="H15" s="5"/>
      <c r="I15" s="5"/>
      <c r="M15" t="s">
        <v>179</v>
      </c>
      <c r="Q15" t="s">
        <v>177</v>
      </c>
      <c r="R15" t="s">
        <v>178</v>
      </c>
    </row>
    <row r="16" spans="2:19" ht="45" x14ac:dyDescent="0.25">
      <c r="B16" s="28" t="s">
        <v>6</v>
      </c>
      <c r="C16" s="9"/>
      <c r="D16" s="10" t="s">
        <v>148</v>
      </c>
      <c r="E16" s="11" t="s">
        <v>2</v>
      </c>
      <c r="F16" s="11" t="s">
        <v>3</v>
      </c>
      <c r="G16" s="11" t="s">
        <v>4</v>
      </c>
      <c r="H16" s="11" t="s">
        <v>5</v>
      </c>
      <c r="I16" s="5"/>
      <c r="M16" s="234">
        <v>3.5000000000000003E-2</v>
      </c>
      <c r="N16" s="239"/>
      <c r="O16" s="239" t="s">
        <v>174</v>
      </c>
      <c r="Q16" s="237">
        <v>0.89149999999999996</v>
      </c>
      <c r="R16" s="208" t="s">
        <v>175</v>
      </c>
      <c r="S16" s="208" t="s">
        <v>176</v>
      </c>
    </row>
    <row r="17" spans="2:19" ht="28.5" x14ac:dyDescent="0.25">
      <c r="B17" s="29"/>
      <c r="C17" s="208" t="s">
        <v>361</v>
      </c>
      <c r="D17" s="264">
        <f>S17</f>
        <v>65997.466182524091</v>
      </c>
      <c r="E17" s="30"/>
      <c r="F17" s="30"/>
      <c r="G17" s="30"/>
      <c r="H17" s="30"/>
      <c r="I17" s="5"/>
      <c r="M17" s="208" t="s">
        <v>362</v>
      </c>
      <c r="N17" s="235">
        <v>56219</v>
      </c>
      <c r="O17" s="236">
        <f>N17*(1+M16)^8</f>
        <v>74029.687249045543</v>
      </c>
      <c r="Q17" s="208" t="s">
        <v>362</v>
      </c>
      <c r="R17" s="235">
        <f>O17</f>
        <v>74029.687249045543</v>
      </c>
      <c r="S17" s="238">
        <f>R17*Q16</f>
        <v>65997.466182524091</v>
      </c>
    </row>
    <row r="18" spans="2:19" ht="28.5" x14ac:dyDescent="0.25">
      <c r="B18" s="29"/>
      <c r="C18" s="208" t="s">
        <v>146</v>
      </c>
      <c r="D18" s="264">
        <f t="shared" ref="D18" si="0">S18</f>
        <v>5789.1793499999994</v>
      </c>
      <c r="E18" s="30"/>
      <c r="F18" s="30"/>
      <c r="G18" s="30"/>
      <c r="H18" s="30"/>
      <c r="I18" s="5"/>
      <c r="M18" s="208" t="s">
        <v>146</v>
      </c>
      <c r="N18" s="268">
        <f>5593.41</f>
        <v>5593.41</v>
      </c>
      <c r="O18" s="236">
        <f>N18*(1+M16)^1</f>
        <v>5789.1793499999994</v>
      </c>
      <c r="Q18" s="208" t="s">
        <v>146</v>
      </c>
      <c r="R18" s="235" t="s">
        <v>126</v>
      </c>
      <c r="S18" s="238">
        <f>O18</f>
        <v>5789.1793499999994</v>
      </c>
    </row>
    <row r="19" spans="2:19" x14ac:dyDescent="0.25">
      <c r="B19" s="5"/>
      <c r="C19" s="223"/>
      <c r="D19" s="5"/>
      <c r="E19" s="5"/>
      <c r="F19" s="5"/>
      <c r="G19" s="5"/>
      <c r="H19" s="5"/>
      <c r="I19" s="5"/>
    </row>
    <row r="20" spans="2:19" x14ac:dyDescent="0.25">
      <c r="B20" s="5"/>
      <c r="C20" s="7" t="s">
        <v>140</v>
      </c>
      <c r="D20" s="5"/>
      <c r="E20" s="5"/>
      <c r="F20" s="5"/>
      <c r="G20" s="5"/>
      <c r="H20" s="5"/>
      <c r="I20" s="5"/>
    </row>
    <row r="21" spans="2:19" ht="57.75" x14ac:dyDescent="0.25">
      <c r="B21" s="28" t="s">
        <v>6</v>
      </c>
      <c r="C21" s="9" t="s">
        <v>7</v>
      </c>
      <c r="D21" s="9" t="s">
        <v>34</v>
      </c>
      <c r="E21" s="9" t="s">
        <v>8</v>
      </c>
      <c r="F21" s="9" t="s">
        <v>35</v>
      </c>
      <c r="G21" s="5"/>
      <c r="H21" s="5"/>
    </row>
    <row r="22" spans="2:19" ht="15.75" x14ac:dyDescent="0.25">
      <c r="B22" s="29" t="s">
        <v>9</v>
      </c>
      <c r="C22" s="142" t="s">
        <v>33</v>
      </c>
      <c r="D22" s="31">
        <v>2</v>
      </c>
      <c r="E22" s="32">
        <v>45</v>
      </c>
      <c r="F22" s="33">
        <f>E22*D22</f>
        <v>90</v>
      </c>
      <c r="G22" s="5"/>
      <c r="H22" s="5"/>
    </row>
    <row r="23" spans="2:19" x14ac:dyDescent="0.25">
      <c r="B23" s="29"/>
      <c r="C23" s="34" t="s">
        <v>13</v>
      </c>
      <c r="D23" s="30"/>
      <c r="E23" s="30"/>
      <c r="F23" s="35">
        <f>SUM(F22:F22)</f>
        <v>90</v>
      </c>
      <c r="G23" s="5"/>
      <c r="H23" s="5"/>
    </row>
    <row r="24" spans="2:19" x14ac:dyDescent="0.25">
      <c r="B24" s="5"/>
      <c r="C24" s="36"/>
      <c r="D24" s="5"/>
      <c r="E24" s="5"/>
      <c r="F24" s="5"/>
      <c r="G24" s="5"/>
      <c r="H24" s="5"/>
      <c r="I24" s="5"/>
    </row>
    <row r="25" spans="2:19" x14ac:dyDescent="0.25">
      <c r="B25" s="5"/>
      <c r="C25" s="409" t="s">
        <v>14</v>
      </c>
      <c r="D25" s="409"/>
      <c r="E25" s="409"/>
      <c r="F25" s="409"/>
      <c r="G25" s="409"/>
      <c r="H25" s="409"/>
      <c r="I25" s="409"/>
    </row>
    <row r="26" spans="2:19" x14ac:dyDescent="0.25">
      <c r="B26" s="5"/>
      <c r="C26" s="36"/>
      <c r="D26" s="5"/>
      <c r="E26" s="5"/>
      <c r="F26" s="5"/>
      <c r="G26" s="5"/>
      <c r="H26" s="5"/>
      <c r="I26" s="5"/>
    </row>
    <row r="27" spans="2:19" x14ac:dyDescent="0.25">
      <c r="B27" s="5"/>
      <c r="C27" s="36"/>
      <c r="D27" s="5"/>
      <c r="E27" s="5"/>
      <c r="F27" s="5"/>
      <c r="G27" s="5"/>
      <c r="H27" s="5"/>
      <c r="I27" s="5"/>
    </row>
    <row r="28" spans="2:19" x14ac:dyDescent="0.25">
      <c r="B28" s="5"/>
      <c r="C28" s="5"/>
      <c r="D28" s="5"/>
      <c r="E28" s="5"/>
      <c r="F28" s="5"/>
      <c r="G28" s="5"/>
      <c r="H28" s="5"/>
      <c r="I28" s="5"/>
    </row>
    <row r="29" spans="2:19" x14ac:dyDescent="0.25">
      <c r="B29" s="7" t="s">
        <v>15</v>
      </c>
      <c r="C29" s="37"/>
      <c r="D29" s="5"/>
      <c r="E29" s="5"/>
      <c r="F29" s="5"/>
      <c r="G29" s="5"/>
      <c r="H29" s="5"/>
      <c r="I29" s="5"/>
    </row>
    <row r="30" spans="2:19" x14ac:dyDescent="0.25">
      <c r="B30" s="5" t="s">
        <v>9</v>
      </c>
      <c r="C30" s="409" t="s">
        <v>16</v>
      </c>
      <c r="D30" s="409"/>
      <c r="E30" s="409"/>
      <c r="F30" s="409"/>
      <c r="G30" s="409"/>
      <c r="H30" s="409"/>
      <c r="I30" s="409"/>
    </row>
    <row r="31" spans="2:19" x14ac:dyDescent="0.25">
      <c r="B31" s="5" t="s">
        <v>10</v>
      </c>
      <c r="C31" s="409" t="s">
        <v>17</v>
      </c>
      <c r="D31" s="409"/>
      <c r="E31" s="409"/>
      <c r="F31" s="409"/>
      <c r="G31" s="409"/>
      <c r="H31" s="409"/>
      <c r="I31" s="409"/>
    </row>
    <row r="32" spans="2:19" x14ac:dyDescent="0.25">
      <c r="B32" s="5" t="s">
        <v>11</v>
      </c>
      <c r="C32" s="409" t="s">
        <v>18</v>
      </c>
      <c r="D32" s="409"/>
      <c r="E32" s="409"/>
      <c r="F32" s="409"/>
      <c r="G32" s="409"/>
      <c r="H32" s="409"/>
      <c r="I32" s="409"/>
    </row>
    <row r="33" spans="2:9" x14ac:dyDescent="0.25">
      <c r="B33" s="5" t="s">
        <v>12</v>
      </c>
      <c r="C33" s="409" t="s">
        <v>19</v>
      </c>
      <c r="D33" s="409"/>
      <c r="E33" s="409"/>
      <c r="F33" s="409"/>
      <c r="G33" s="409"/>
      <c r="H33" s="409"/>
      <c r="I33" s="409"/>
    </row>
    <row r="34" spans="2:9" x14ac:dyDescent="0.25">
      <c r="B34" s="5"/>
      <c r="C34" s="5"/>
      <c r="D34" s="5"/>
      <c r="E34" s="5"/>
      <c r="F34" s="5"/>
      <c r="G34" s="5"/>
      <c r="H34" s="5"/>
      <c r="I34" s="5"/>
    </row>
  </sheetData>
  <protectedRanges>
    <protectedRange sqref="D7:G7 D11 E22 F11:G11" name="Range1"/>
  </protectedRanges>
  <mergeCells count="5">
    <mergeCell ref="C25:I25"/>
    <mergeCell ref="C30:I30"/>
    <mergeCell ref="C31:I31"/>
    <mergeCell ref="C32:I32"/>
    <mergeCell ref="C33:I33"/>
  </mergeCells>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J35"/>
  <sheetViews>
    <sheetView topLeftCell="M7" workbookViewId="0">
      <selection activeCell="AG25" sqref="AG25"/>
    </sheetView>
  </sheetViews>
  <sheetFormatPr defaultRowHeight="14.25" x14ac:dyDescent="0.2"/>
  <cols>
    <col min="1" max="1" width="2.7109375" style="3" customWidth="1"/>
    <col min="2" max="2" width="55.28515625" style="3" customWidth="1"/>
    <col min="3" max="3" width="13.85546875" style="3" customWidth="1"/>
    <col min="4" max="4" width="15.7109375" style="3" customWidth="1"/>
    <col min="5" max="5" width="14" style="3" customWidth="1"/>
    <col min="6" max="6" width="13.85546875" style="3" customWidth="1"/>
    <col min="7" max="7" width="13.85546875" style="157" customWidth="1"/>
    <col min="8" max="9" width="9.140625" style="3"/>
    <col min="10" max="10" width="9" style="3" customWidth="1"/>
    <col min="11" max="11" width="9.140625" style="3"/>
    <col min="12" max="12" width="11.28515625" style="3" customWidth="1"/>
    <col min="13" max="13" width="9.140625" style="3"/>
    <col min="14" max="14" width="12.28515625" style="3" customWidth="1"/>
    <col min="15" max="18" width="9.140625" style="3"/>
    <col min="19" max="19" width="11.85546875" style="3" customWidth="1"/>
    <col min="20" max="20" width="19.85546875" style="3" customWidth="1"/>
    <col min="21" max="21" width="17.7109375" style="219" customWidth="1"/>
    <col min="22" max="27" width="9.140625" style="219" customWidth="1"/>
    <col min="28" max="28" width="11.28515625" style="219" customWidth="1"/>
    <col min="29" max="29" width="9.140625" style="219" customWidth="1"/>
    <col min="30" max="30" width="12.28515625" style="219" customWidth="1"/>
    <col min="31" max="35" width="9.140625" style="219" customWidth="1"/>
    <col min="36" max="36" width="19.28515625" style="219" customWidth="1"/>
    <col min="37" max="256" width="9.140625" style="3"/>
    <col min="257" max="257" width="2.7109375" style="3" customWidth="1"/>
    <col min="258" max="258" width="55.28515625" style="3" customWidth="1"/>
    <col min="259" max="259" width="13.85546875" style="3" customWidth="1"/>
    <col min="260" max="260" width="15.7109375" style="3" customWidth="1"/>
    <col min="261" max="261" width="14" style="3" customWidth="1"/>
    <col min="262" max="262" width="13.85546875" style="3" customWidth="1"/>
    <col min="263" max="263" width="0" style="3" hidden="1" customWidth="1"/>
    <col min="264" max="265" width="9.140625" style="3"/>
    <col min="266" max="266" width="9" style="3" customWidth="1"/>
    <col min="267" max="267" width="9.140625" style="3"/>
    <col min="268" max="268" width="11.28515625" style="3" customWidth="1"/>
    <col min="269" max="269" width="9.140625" style="3"/>
    <col min="270" max="270" width="12.28515625" style="3" customWidth="1"/>
    <col min="271" max="274" width="9.140625" style="3"/>
    <col min="275" max="275" width="11.85546875" style="3" customWidth="1"/>
    <col min="276" max="276" width="19.85546875" style="3" customWidth="1"/>
    <col min="277" max="292" width="0" style="3" hidden="1" customWidth="1"/>
    <col min="293" max="512" width="9.140625" style="3"/>
    <col min="513" max="513" width="2.7109375" style="3" customWidth="1"/>
    <col min="514" max="514" width="55.28515625" style="3" customWidth="1"/>
    <col min="515" max="515" width="13.85546875" style="3" customWidth="1"/>
    <col min="516" max="516" width="15.7109375" style="3" customWidth="1"/>
    <col min="517" max="517" width="14" style="3" customWidth="1"/>
    <col min="518" max="518" width="13.85546875" style="3" customWidth="1"/>
    <col min="519" max="519" width="0" style="3" hidden="1" customWidth="1"/>
    <col min="520" max="521" width="9.140625" style="3"/>
    <col min="522" max="522" width="9" style="3" customWidth="1"/>
    <col min="523" max="523" width="9.140625" style="3"/>
    <col min="524" max="524" width="11.28515625" style="3" customWidth="1"/>
    <col min="525" max="525" width="9.140625" style="3"/>
    <col min="526" max="526" width="12.28515625" style="3" customWidth="1"/>
    <col min="527" max="530" width="9.140625" style="3"/>
    <col min="531" max="531" width="11.85546875" style="3" customWidth="1"/>
    <col min="532" max="532" width="19.85546875" style="3" customWidth="1"/>
    <col min="533" max="548" width="0" style="3" hidden="1" customWidth="1"/>
    <col min="549" max="768" width="9.140625" style="3"/>
    <col min="769" max="769" width="2.7109375" style="3" customWidth="1"/>
    <col min="770" max="770" width="55.28515625" style="3" customWidth="1"/>
    <col min="771" max="771" width="13.85546875" style="3" customWidth="1"/>
    <col min="772" max="772" width="15.7109375" style="3" customWidth="1"/>
    <col min="773" max="773" width="14" style="3" customWidth="1"/>
    <col min="774" max="774" width="13.85546875" style="3" customWidth="1"/>
    <col min="775" max="775" width="0" style="3" hidden="1" customWidth="1"/>
    <col min="776" max="777" width="9.140625" style="3"/>
    <col min="778" max="778" width="9" style="3" customWidth="1"/>
    <col min="779" max="779" width="9.140625" style="3"/>
    <col min="780" max="780" width="11.28515625" style="3" customWidth="1"/>
    <col min="781" max="781" width="9.140625" style="3"/>
    <col min="782" max="782" width="12.28515625" style="3" customWidth="1"/>
    <col min="783" max="786" width="9.140625" style="3"/>
    <col min="787" max="787" width="11.85546875" style="3" customWidth="1"/>
    <col min="788" max="788" width="19.85546875" style="3" customWidth="1"/>
    <col min="789" max="804" width="0" style="3" hidden="1" customWidth="1"/>
    <col min="805" max="1024" width="9.140625" style="3"/>
    <col min="1025" max="1025" width="2.7109375" style="3" customWidth="1"/>
    <col min="1026" max="1026" width="55.28515625" style="3" customWidth="1"/>
    <col min="1027" max="1027" width="13.85546875" style="3" customWidth="1"/>
    <col min="1028" max="1028" width="15.7109375" style="3" customWidth="1"/>
    <col min="1029" max="1029" width="14" style="3" customWidth="1"/>
    <col min="1030" max="1030" width="13.85546875" style="3" customWidth="1"/>
    <col min="1031" max="1031" width="0" style="3" hidden="1" customWidth="1"/>
    <col min="1032" max="1033" width="9.140625" style="3"/>
    <col min="1034" max="1034" width="9" style="3" customWidth="1"/>
    <col min="1035" max="1035" width="9.140625" style="3"/>
    <col min="1036" max="1036" width="11.28515625" style="3" customWidth="1"/>
    <col min="1037" max="1037" width="9.140625" style="3"/>
    <col min="1038" max="1038" width="12.28515625" style="3" customWidth="1"/>
    <col min="1039" max="1042" width="9.140625" style="3"/>
    <col min="1043" max="1043" width="11.85546875" style="3" customWidth="1"/>
    <col min="1044" max="1044" width="19.85546875" style="3" customWidth="1"/>
    <col min="1045" max="1060" width="0" style="3" hidden="1" customWidth="1"/>
    <col min="1061" max="1280" width="9.140625" style="3"/>
    <col min="1281" max="1281" width="2.7109375" style="3" customWidth="1"/>
    <col min="1282" max="1282" width="55.28515625" style="3" customWidth="1"/>
    <col min="1283" max="1283" width="13.85546875" style="3" customWidth="1"/>
    <col min="1284" max="1284" width="15.7109375" style="3" customWidth="1"/>
    <col min="1285" max="1285" width="14" style="3" customWidth="1"/>
    <col min="1286" max="1286" width="13.85546875" style="3" customWidth="1"/>
    <col min="1287" max="1287" width="0" style="3" hidden="1" customWidth="1"/>
    <col min="1288" max="1289" width="9.140625" style="3"/>
    <col min="1290" max="1290" width="9" style="3" customWidth="1"/>
    <col min="1291" max="1291" width="9.140625" style="3"/>
    <col min="1292" max="1292" width="11.28515625" style="3" customWidth="1"/>
    <col min="1293" max="1293" width="9.140625" style="3"/>
    <col min="1294" max="1294" width="12.28515625" style="3" customWidth="1"/>
    <col min="1295" max="1298" width="9.140625" style="3"/>
    <col min="1299" max="1299" width="11.85546875" style="3" customWidth="1"/>
    <col min="1300" max="1300" width="19.85546875" style="3" customWidth="1"/>
    <col min="1301" max="1316" width="0" style="3" hidden="1" customWidth="1"/>
    <col min="1317" max="1536" width="9.140625" style="3"/>
    <col min="1537" max="1537" width="2.7109375" style="3" customWidth="1"/>
    <col min="1538" max="1538" width="55.28515625" style="3" customWidth="1"/>
    <col min="1539" max="1539" width="13.85546875" style="3" customWidth="1"/>
    <col min="1540" max="1540" width="15.7109375" style="3" customWidth="1"/>
    <col min="1541" max="1541" width="14" style="3" customWidth="1"/>
    <col min="1542" max="1542" width="13.85546875" style="3" customWidth="1"/>
    <col min="1543" max="1543" width="0" style="3" hidden="1" customWidth="1"/>
    <col min="1544" max="1545" width="9.140625" style="3"/>
    <col min="1546" max="1546" width="9" style="3" customWidth="1"/>
    <col min="1547" max="1547" width="9.140625" style="3"/>
    <col min="1548" max="1548" width="11.28515625" style="3" customWidth="1"/>
    <col min="1549" max="1549" width="9.140625" style="3"/>
    <col min="1550" max="1550" width="12.28515625" style="3" customWidth="1"/>
    <col min="1551" max="1554" width="9.140625" style="3"/>
    <col min="1555" max="1555" width="11.85546875" style="3" customWidth="1"/>
    <col min="1556" max="1556" width="19.85546875" style="3" customWidth="1"/>
    <col min="1557" max="1572" width="0" style="3" hidden="1" customWidth="1"/>
    <col min="1573" max="1792" width="9.140625" style="3"/>
    <col min="1793" max="1793" width="2.7109375" style="3" customWidth="1"/>
    <col min="1794" max="1794" width="55.28515625" style="3" customWidth="1"/>
    <col min="1795" max="1795" width="13.85546875" style="3" customWidth="1"/>
    <col min="1796" max="1796" width="15.7109375" style="3" customWidth="1"/>
    <col min="1797" max="1797" width="14" style="3" customWidth="1"/>
    <col min="1798" max="1798" width="13.85546875" style="3" customWidth="1"/>
    <col min="1799" max="1799" width="0" style="3" hidden="1" customWidth="1"/>
    <col min="1800" max="1801" width="9.140625" style="3"/>
    <col min="1802" max="1802" width="9" style="3" customWidth="1"/>
    <col min="1803" max="1803" width="9.140625" style="3"/>
    <col min="1804" max="1804" width="11.28515625" style="3" customWidth="1"/>
    <col min="1805" max="1805" width="9.140625" style="3"/>
    <col min="1806" max="1806" width="12.28515625" style="3" customWidth="1"/>
    <col min="1807" max="1810" width="9.140625" style="3"/>
    <col min="1811" max="1811" width="11.85546875" style="3" customWidth="1"/>
    <col min="1812" max="1812" width="19.85546875" style="3" customWidth="1"/>
    <col min="1813" max="1828" width="0" style="3" hidden="1" customWidth="1"/>
    <col min="1829" max="2048" width="9.140625" style="3"/>
    <col min="2049" max="2049" width="2.7109375" style="3" customWidth="1"/>
    <col min="2050" max="2050" width="55.28515625" style="3" customWidth="1"/>
    <col min="2051" max="2051" width="13.85546875" style="3" customWidth="1"/>
    <col min="2052" max="2052" width="15.7109375" style="3" customWidth="1"/>
    <col min="2053" max="2053" width="14" style="3" customWidth="1"/>
    <col min="2054" max="2054" width="13.85546875" style="3" customWidth="1"/>
    <col min="2055" max="2055" width="0" style="3" hidden="1" customWidth="1"/>
    <col min="2056" max="2057" width="9.140625" style="3"/>
    <col min="2058" max="2058" width="9" style="3" customWidth="1"/>
    <col min="2059" max="2059" width="9.140625" style="3"/>
    <col min="2060" max="2060" width="11.28515625" style="3" customWidth="1"/>
    <col min="2061" max="2061" width="9.140625" style="3"/>
    <col min="2062" max="2062" width="12.28515625" style="3" customWidth="1"/>
    <col min="2063" max="2066" width="9.140625" style="3"/>
    <col min="2067" max="2067" width="11.85546875" style="3" customWidth="1"/>
    <col min="2068" max="2068" width="19.85546875" style="3" customWidth="1"/>
    <col min="2069" max="2084" width="0" style="3" hidden="1" customWidth="1"/>
    <col min="2085" max="2304" width="9.140625" style="3"/>
    <col min="2305" max="2305" width="2.7109375" style="3" customWidth="1"/>
    <col min="2306" max="2306" width="55.28515625" style="3" customWidth="1"/>
    <col min="2307" max="2307" width="13.85546875" style="3" customWidth="1"/>
    <col min="2308" max="2308" width="15.7109375" style="3" customWidth="1"/>
    <col min="2309" max="2309" width="14" style="3" customWidth="1"/>
    <col min="2310" max="2310" width="13.85546875" style="3" customWidth="1"/>
    <col min="2311" max="2311" width="0" style="3" hidden="1" customWidth="1"/>
    <col min="2312" max="2313" width="9.140625" style="3"/>
    <col min="2314" max="2314" width="9" style="3" customWidth="1"/>
    <col min="2315" max="2315" width="9.140625" style="3"/>
    <col min="2316" max="2316" width="11.28515625" style="3" customWidth="1"/>
    <col min="2317" max="2317" width="9.140625" style="3"/>
    <col min="2318" max="2318" width="12.28515625" style="3" customWidth="1"/>
    <col min="2319" max="2322" width="9.140625" style="3"/>
    <col min="2323" max="2323" width="11.85546875" style="3" customWidth="1"/>
    <col min="2324" max="2324" width="19.85546875" style="3" customWidth="1"/>
    <col min="2325" max="2340" width="0" style="3" hidden="1" customWidth="1"/>
    <col min="2341" max="2560" width="9.140625" style="3"/>
    <col min="2561" max="2561" width="2.7109375" style="3" customWidth="1"/>
    <col min="2562" max="2562" width="55.28515625" style="3" customWidth="1"/>
    <col min="2563" max="2563" width="13.85546875" style="3" customWidth="1"/>
    <col min="2564" max="2564" width="15.7109375" style="3" customWidth="1"/>
    <col min="2565" max="2565" width="14" style="3" customWidth="1"/>
    <col min="2566" max="2566" width="13.85546875" style="3" customWidth="1"/>
    <col min="2567" max="2567" width="0" style="3" hidden="1" customWidth="1"/>
    <col min="2568" max="2569" width="9.140625" style="3"/>
    <col min="2570" max="2570" width="9" style="3" customWidth="1"/>
    <col min="2571" max="2571" width="9.140625" style="3"/>
    <col min="2572" max="2572" width="11.28515625" style="3" customWidth="1"/>
    <col min="2573" max="2573" width="9.140625" style="3"/>
    <col min="2574" max="2574" width="12.28515625" style="3" customWidth="1"/>
    <col min="2575" max="2578" width="9.140625" style="3"/>
    <col min="2579" max="2579" width="11.85546875" style="3" customWidth="1"/>
    <col min="2580" max="2580" width="19.85546875" style="3" customWidth="1"/>
    <col min="2581" max="2596" width="0" style="3" hidden="1" customWidth="1"/>
    <col min="2597" max="2816" width="9.140625" style="3"/>
    <col min="2817" max="2817" width="2.7109375" style="3" customWidth="1"/>
    <col min="2818" max="2818" width="55.28515625" style="3" customWidth="1"/>
    <col min="2819" max="2819" width="13.85546875" style="3" customWidth="1"/>
    <col min="2820" max="2820" width="15.7109375" style="3" customWidth="1"/>
    <col min="2821" max="2821" width="14" style="3" customWidth="1"/>
    <col min="2822" max="2822" width="13.85546875" style="3" customWidth="1"/>
    <col min="2823" max="2823" width="0" style="3" hidden="1" customWidth="1"/>
    <col min="2824" max="2825" width="9.140625" style="3"/>
    <col min="2826" max="2826" width="9" style="3" customWidth="1"/>
    <col min="2827" max="2827" width="9.140625" style="3"/>
    <col min="2828" max="2828" width="11.28515625" style="3" customWidth="1"/>
    <col min="2829" max="2829" width="9.140625" style="3"/>
    <col min="2830" max="2830" width="12.28515625" style="3" customWidth="1"/>
    <col min="2831" max="2834" width="9.140625" style="3"/>
    <col min="2835" max="2835" width="11.85546875" style="3" customWidth="1"/>
    <col min="2836" max="2836" width="19.85546875" style="3" customWidth="1"/>
    <col min="2837" max="2852" width="0" style="3" hidden="1" customWidth="1"/>
    <col min="2853" max="3072" width="9.140625" style="3"/>
    <col min="3073" max="3073" width="2.7109375" style="3" customWidth="1"/>
    <col min="3074" max="3074" width="55.28515625" style="3" customWidth="1"/>
    <col min="3075" max="3075" width="13.85546875" style="3" customWidth="1"/>
    <col min="3076" max="3076" width="15.7109375" style="3" customWidth="1"/>
    <col min="3077" max="3077" width="14" style="3" customWidth="1"/>
    <col min="3078" max="3078" width="13.85546875" style="3" customWidth="1"/>
    <col min="3079" max="3079" width="0" style="3" hidden="1" customWidth="1"/>
    <col min="3080" max="3081" width="9.140625" style="3"/>
    <col min="3082" max="3082" width="9" style="3" customWidth="1"/>
    <col min="3083" max="3083" width="9.140625" style="3"/>
    <col min="3084" max="3084" width="11.28515625" style="3" customWidth="1"/>
    <col min="3085" max="3085" width="9.140625" style="3"/>
    <col min="3086" max="3086" width="12.28515625" style="3" customWidth="1"/>
    <col min="3087" max="3090" width="9.140625" style="3"/>
    <col min="3091" max="3091" width="11.85546875" style="3" customWidth="1"/>
    <col min="3092" max="3092" width="19.85546875" style="3" customWidth="1"/>
    <col min="3093" max="3108" width="0" style="3" hidden="1" customWidth="1"/>
    <col min="3109" max="3328" width="9.140625" style="3"/>
    <col min="3329" max="3329" width="2.7109375" style="3" customWidth="1"/>
    <col min="3330" max="3330" width="55.28515625" style="3" customWidth="1"/>
    <col min="3331" max="3331" width="13.85546875" style="3" customWidth="1"/>
    <col min="3332" max="3332" width="15.7109375" style="3" customWidth="1"/>
    <col min="3333" max="3333" width="14" style="3" customWidth="1"/>
    <col min="3334" max="3334" width="13.85546875" style="3" customWidth="1"/>
    <col min="3335" max="3335" width="0" style="3" hidden="1" customWidth="1"/>
    <col min="3336" max="3337" width="9.140625" style="3"/>
    <col min="3338" max="3338" width="9" style="3" customWidth="1"/>
    <col min="3339" max="3339" width="9.140625" style="3"/>
    <col min="3340" max="3340" width="11.28515625" style="3" customWidth="1"/>
    <col min="3341" max="3341" width="9.140625" style="3"/>
    <col min="3342" max="3342" width="12.28515625" style="3" customWidth="1"/>
    <col min="3343" max="3346" width="9.140625" style="3"/>
    <col min="3347" max="3347" width="11.85546875" style="3" customWidth="1"/>
    <col min="3348" max="3348" width="19.85546875" style="3" customWidth="1"/>
    <col min="3349" max="3364" width="0" style="3" hidden="1" customWidth="1"/>
    <col min="3365" max="3584" width="9.140625" style="3"/>
    <col min="3585" max="3585" width="2.7109375" style="3" customWidth="1"/>
    <col min="3586" max="3586" width="55.28515625" style="3" customWidth="1"/>
    <col min="3587" max="3587" width="13.85546875" style="3" customWidth="1"/>
    <col min="3588" max="3588" width="15.7109375" style="3" customWidth="1"/>
    <col min="3589" max="3589" width="14" style="3" customWidth="1"/>
    <col min="3590" max="3590" width="13.85546875" style="3" customWidth="1"/>
    <col min="3591" max="3591" width="0" style="3" hidden="1" customWidth="1"/>
    <col min="3592" max="3593" width="9.140625" style="3"/>
    <col min="3594" max="3594" width="9" style="3" customWidth="1"/>
    <col min="3595" max="3595" width="9.140625" style="3"/>
    <col min="3596" max="3596" width="11.28515625" style="3" customWidth="1"/>
    <col min="3597" max="3597" width="9.140625" style="3"/>
    <col min="3598" max="3598" width="12.28515625" style="3" customWidth="1"/>
    <col min="3599" max="3602" width="9.140625" style="3"/>
    <col min="3603" max="3603" width="11.85546875" style="3" customWidth="1"/>
    <col min="3604" max="3604" width="19.85546875" style="3" customWidth="1"/>
    <col min="3605" max="3620" width="0" style="3" hidden="1" customWidth="1"/>
    <col min="3621" max="3840" width="9.140625" style="3"/>
    <col min="3841" max="3841" width="2.7109375" style="3" customWidth="1"/>
    <col min="3842" max="3842" width="55.28515625" style="3" customWidth="1"/>
    <col min="3843" max="3843" width="13.85546875" style="3" customWidth="1"/>
    <col min="3844" max="3844" width="15.7109375" style="3" customWidth="1"/>
    <col min="3845" max="3845" width="14" style="3" customWidth="1"/>
    <col min="3846" max="3846" width="13.85546875" style="3" customWidth="1"/>
    <col min="3847" max="3847" width="0" style="3" hidden="1" customWidth="1"/>
    <col min="3848" max="3849" width="9.140625" style="3"/>
    <col min="3850" max="3850" width="9" style="3" customWidth="1"/>
    <col min="3851" max="3851" width="9.140625" style="3"/>
    <col min="3852" max="3852" width="11.28515625" style="3" customWidth="1"/>
    <col min="3853" max="3853" width="9.140625" style="3"/>
    <col min="3854" max="3854" width="12.28515625" style="3" customWidth="1"/>
    <col min="3855" max="3858" width="9.140625" style="3"/>
    <col min="3859" max="3859" width="11.85546875" style="3" customWidth="1"/>
    <col min="3860" max="3860" width="19.85546875" style="3" customWidth="1"/>
    <col min="3861" max="3876" width="0" style="3" hidden="1" customWidth="1"/>
    <col min="3877" max="4096" width="9.140625" style="3"/>
    <col min="4097" max="4097" width="2.7109375" style="3" customWidth="1"/>
    <col min="4098" max="4098" width="55.28515625" style="3" customWidth="1"/>
    <col min="4099" max="4099" width="13.85546875" style="3" customWidth="1"/>
    <col min="4100" max="4100" width="15.7109375" style="3" customWidth="1"/>
    <col min="4101" max="4101" width="14" style="3" customWidth="1"/>
    <col min="4102" max="4102" width="13.85546875" style="3" customWidth="1"/>
    <col min="4103" max="4103" width="0" style="3" hidden="1" customWidth="1"/>
    <col min="4104" max="4105" width="9.140625" style="3"/>
    <col min="4106" max="4106" width="9" style="3" customWidth="1"/>
    <col min="4107" max="4107" width="9.140625" style="3"/>
    <col min="4108" max="4108" width="11.28515625" style="3" customWidth="1"/>
    <col min="4109" max="4109" width="9.140625" style="3"/>
    <col min="4110" max="4110" width="12.28515625" style="3" customWidth="1"/>
    <col min="4111" max="4114" width="9.140625" style="3"/>
    <col min="4115" max="4115" width="11.85546875" style="3" customWidth="1"/>
    <col min="4116" max="4116" width="19.85546875" style="3" customWidth="1"/>
    <col min="4117" max="4132" width="0" style="3" hidden="1" customWidth="1"/>
    <col min="4133" max="4352" width="9.140625" style="3"/>
    <col min="4353" max="4353" width="2.7109375" style="3" customWidth="1"/>
    <col min="4354" max="4354" width="55.28515625" style="3" customWidth="1"/>
    <col min="4355" max="4355" width="13.85546875" style="3" customWidth="1"/>
    <col min="4356" max="4356" width="15.7109375" style="3" customWidth="1"/>
    <col min="4357" max="4357" width="14" style="3" customWidth="1"/>
    <col min="4358" max="4358" width="13.85546875" style="3" customWidth="1"/>
    <col min="4359" max="4359" width="0" style="3" hidden="1" customWidth="1"/>
    <col min="4360" max="4361" width="9.140625" style="3"/>
    <col min="4362" max="4362" width="9" style="3" customWidth="1"/>
    <col min="4363" max="4363" width="9.140625" style="3"/>
    <col min="4364" max="4364" width="11.28515625" style="3" customWidth="1"/>
    <col min="4365" max="4365" width="9.140625" style="3"/>
    <col min="4366" max="4366" width="12.28515625" style="3" customWidth="1"/>
    <col min="4367" max="4370" width="9.140625" style="3"/>
    <col min="4371" max="4371" width="11.85546875" style="3" customWidth="1"/>
    <col min="4372" max="4372" width="19.85546875" style="3" customWidth="1"/>
    <col min="4373" max="4388" width="0" style="3" hidden="1" customWidth="1"/>
    <col min="4389" max="4608" width="9.140625" style="3"/>
    <col min="4609" max="4609" width="2.7109375" style="3" customWidth="1"/>
    <col min="4610" max="4610" width="55.28515625" style="3" customWidth="1"/>
    <col min="4611" max="4611" width="13.85546875" style="3" customWidth="1"/>
    <col min="4612" max="4612" width="15.7109375" style="3" customWidth="1"/>
    <col min="4613" max="4613" width="14" style="3" customWidth="1"/>
    <col min="4614" max="4614" width="13.85546875" style="3" customWidth="1"/>
    <col min="4615" max="4615" width="0" style="3" hidden="1" customWidth="1"/>
    <col min="4616" max="4617" width="9.140625" style="3"/>
    <col min="4618" max="4618" width="9" style="3" customWidth="1"/>
    <col min="4619" max="4619" width="9.140625" style="3"/>
    <col min="4620" max="4620" width="11.28515625" style="3" customWidth="1"/>
    <col min="4621" max="4621" width="9.140625" style="3"/>
    <col min="4622" max="4622" width="12.28515625" style="3" customWidth="1"/>
    <col min="4623" max="4626" width="9.140625" style="3"/>
    <col min="4627" max="4627" width="11.85546875" style="3" customWidth="1"/>
    <col min="4628" max="4628" width="19.85546875" style="3" customWidth="1"/>
    <col min="4629" max="4644" width="0" style="3" hidden="1" customWidth="1"/>
    <col min="4645" max="4864" width="9.140625" style="3"/>
    <col min="4865" max="4865" width="2.7109375" style="3" customWidth="1"/>
    <col min="4866" max="4866" width="55.28515625" style="3" customWidth="1"/>
    <col min="4867" max="4867" width="13.85546875" style="3" customWidth="1"/>
    <col min="4868" max="4868" width="15.7109375" style="3" customWidth="1"/>
    <col min="4869" max="4869" width="14" style="3" customWidth="1"/>
    <col min="4870" max="4870" width="13.85546875" style="3" customWidth="1"/>
    <col min="4871" max="4871" width="0" style="3" hidden="1" customWidth="1"/>
    <col min="4872" max="4873" width="9.140625" style="3"/>
    <col min="4874" max="4874" width="9" style="3" customWidth="1"/>
    <col min="4875" max="4875" width="9.140625" style="3"/>
    <col min="4876" max="4876" width="11.28515625" style="3" customWidth="1"/>
    <col min="4877" max="4877" width="9.140625" style="3"/>
    <col min="4878" max="4878" width="12.28515625" style="3" customWidth="1"/>
    <col min="4879" max="4882" width="9.140625" style="3"/>
    <col min="4883" max="4883" width="11.85546875" style="3" customWidth="1"/>
    <col min="4884" max="4884" width="19.85546875" style="3" customWidth="1"/>
    <col min="4885" max="4900" width="0" style="3" hidden="1" customWidth="1"/>
    <col min="4901" max="5120" width="9.140625" style="3"/>
    <col min="5121" max="5121" width="2.7109375" style="3" customWidth="1"/>
    <col min="5122" max="5122" width="55.28515625" style="3" customWidth="1"/>
    <col min="5123" max="5123" width="13.85546875" style="3" customWidth="1"/>
    <col min="5124" max="5124" width="15.7109375" style="3" customWidth="1"/>
    <col min="5125" max="5125" width="14" style="3" customWidth="1"/>
    <col min="5126" max="5126" width="13.85546875" style="3" customWidth="1"/>
    <col min="5127" max="5127" width="0" style="3" hidden="1" customWidth="1"/>
    <col min="5128" max="5129" width="9.140625" style="3"/>
    <col min="5130" max="5130" width="9" style="3" customWidth="1"/>
    <col min="5131" max="5131" width="9.140625" style="3"/>
    <col min="5132" max="5132" width="11.28515625" style="3" customWidth="1"/>
    <col min="5133" max="5133" width="9.140625" style="3"/>
    <col min="5134" max="5134" width="12.28515625" style="3" customWidth="1"/>
    <col min="5135" max="5138" width="9.140625" style="3"/>
    <col min="5139" max="5139" width="11.85546875" style="3" customWidth="1"/>
    <col min="5140" max="5140" width="19.85546875" style="3" customWidth="1"/>
    <col min="5141" max="5156" width="0" style="3" hidden="1" customWidth="1"/>
    <col min="5157" max="5376" width="9.140625" style="3"/>
    <col min="5377" max="5377" width="2.7109375" style="3" customWidth="1"/>
    <col min="5378" max="5378" width="55.28515625" style="3" customWidth="1"/>
    <col min="5379" max="5379" width="13.85546875" style="3" customWidth="1"/>
    <col min="5380" max="5380" width="15.7109375" style="3" customWidth="1"/>
    <col min="5381" max="5381" width="14" style="3" customWidth="1"/>
    <col min="5382" max="5382" width="13.85546875" style="3" customWidth="1"/>
    <col min="5383" max="5383" width="0" style="3" hidden="1" customWidth="1"/>
    <col min="5384" max="5385" width="9.140625" style="3"/>
    <col min="5386" max="5386" width="9" style="3" customWidth="1"/>
    <col min="5387" max="5387" width="9.140625" style="3"/>
    <col min="5388" max="5388" width="11.28515625" style="3" customWidth="1"/>
    <col min="5389" max="5389" width="9.140625" style="3"/>
    <col min="5390" max="5390" width="12.28515625" style="3" customWidth="1"/>
    <col min="5391" max="5394" width="9.140625" style="3"/>
    <col min="5395" max="5395" width="11.85546875" style="3" customWidth="1"/>
    <col min="5396" max="5396" width="19.85546875" style="3" customWidth="1"/>
    <col min="5397" max="5412" width="0" style="3" hidden="1" customWidth="1"/>
    <col min="5413" max="5632" width="9.140625" style="3"/>
    <col min="5633" max="5633" width="2.7109375" style="3" customWidth="1"/>
    <col min="5634" max="5634" width="55.28515625" style="3" customWidth="1"/>
    <col min="5635" max="5635" width="13.85546875" style="3" customWidth="1"/>
    <col min="5636" max="5636" width="15.7109375" style="3" customWidth="1"/>
    <col min="5637" max="5637" width="14" style="3" customWidth="1"/>
    <col min="5638" max="5638" width="13.85546875" style="3" customWidth="1"/>
    <col min="5639" max="5639" width="0" style="3" hidden="1" customWidth="1"/>
    <col min="5640" max="5641" width="9.140625" style="3"/>
    <col min="5642" max="5642" width="9" style="3" customWidth="1"/>
    <col min="5643" max="5643" width="9.140625" style="3"/>
    <col min="5644" max="5644" width="11.28515625" style="3" customWidth="1"/>
    <col min="5645" max="5645" width="9.140625" style="3"/>
    <col min="5646" max="5646" width="12.28515625" style="3" customWidth="1"/>
    <col min="5647" max="5650" width="9.140625" style="3"/>
    <col min="5651" max="5651" width="11.85546875" style="3" customWidth="1"/>
    <col min="5652" max="5652" width="19.85546875" style="3" customWidth="1"/>
    <col min="5653" max="5668" width="0" style="3" hidden="1" customWidth="1"/>
    <col min="5669" max="5888" width="9.140625" style="3"/>
    <col min="5889" max="5889" width="2.7109375" style="3" customWidth="1"/>
    <col min="5890" max="5890" width="55.28515625" style="3" customWidth="1"/>
    <col min="5891" max="5891" width="13.85546875" style="3" customWidth="1"/>
    <col min="5892" max="5892" width="15.7109375" style="3" customWidth="1"/>
    <col min="5893" max="5893" width="14" style="3" customWidth="1"/>
    <col min="5894" max="5894" width="13.85546875" style="3" customWidth="1"/>
    <col min="5895" max="5895" width="0" style="3" hidden="1" customWidth="1"/>
    <col min="5896" max="5897" width="9.140625" style="3"/>
    <col min="5898" max="5898" width="9" style="3" customWidth="1"/>
    <col min="5899" max="5899" width="9.140625" style="3"/>
    <col min="5900" max="5900" width="11.28515625" style="3" customWidth="1"/>
    <col min="5901" max="5901" width="9.140625" style="3"/>
    <col min="5902" max="5902" width="12.28515625" style="3" customWidth="1"/>
    <col min="5903" max="5906" width="9.140625" style="3"/>
    <col min="5907" max="5907" width="11.85546875" style="3" customWidth="1"/>
    <col min="5908" max="5908" width="19.85546875" style="3" customWidth="1"/>
    <col min="5909" max="5924" width="0" style="3" hidden="1" customWidth="1"/>
    <col min="5925" max="6144" width="9.140625" style="3"/>
    <col min="6145" max="6145" width="2.7109375" style="3" customWidth="1"/>
    <col min="6146" max="6146" width="55.28515625" style="3" customWidth="1"/>
    <col min="6147" max="6147" width="13.85546875" style="3" customWidth="1"/>
    <col min="6148" max="6148" width="15.7109375" style="3" customWidth="1"/>
    <col min="6149" max="6149" width="14" style="3" customWidth="1"/>
    <col min="6150" max="6150" width="13.85546875" style="3" customWidth="1"/>
    <col min="6151" max="6151" width="0" style="3" hidden="1" customWidth="1"/>
    <col min="6152" max="6153" width="9.140625" style="3"/>
    <col min="6154" max="6154" width="9" style="3" customWidth="1"/>
    <col min="6155" max="6155" width="9.140625" style="3"/>
    <col min="6156" max="6156" width="11.28515625" style="3" customWidth="1"/>
    <col min="6157" max="6157" width="9.140625" style="3"/>
    <col min="6158" max="6158" width="12.28515625" style="3" customWidth="1"/>
    <col min="6159" max="6162" width="9.140625" style="3"/>
    <col min="6163" max="6163" width="11.85546875" style="3" customWidth="1"/>
    <col min="6164" max="6164" width="19.85546875" style="3" customWidth="1"/>
    <col min="6165" max="6180" width="0" style="3" hidden="1" customWidth="1"/>
    <col min="6181" max="6400" width="9.140625" style="3"/>
    <col min="6401" max="6401" width="2.7109375" style="3" customWidth="1"/>
    <col min="6402" max="6402" width="55.28515625" style="3" customWidth="1"/>
    <col min="6403" max="6403" width="13.85546875" style="3" customWidth="1"/>
    <col min="6404" max="6404" width="15.7109375" style="3" customWidth="1"/>
    <col min="6405" max="6405" width="14" style="3" customWidth="1"/>
    <col min="6406" max="6406" width="13.85546875" style="3" customWidth="1"/>
    <col min="6407" max="6407" width="0" style="3" hidden="1" customWidth="1"/>
    <col min="6408" max="6409" width="9.140625" style="3"/>
    <col min="6410" max="6410" width="9" style="3" customWidth="1"/>
    <col min="6411" max="6411" width="9.140625" style="3"/>
    <col min="6412" max="6412" width="11.28515625" style="3" customWidth="1"/>
    <col min="6413" max="6413" width="9.140625" style="3"/>
    <col min="6414" max="6414" width="12.28515625" style="3" customWidth="1"/>
    <col min="6415" max="6418" width="9.140625" style="3"/>
    <col min="6419" max="6419" width="11.85546875" style="3" customWidth="1"/>
    <col min="6420" max="6420" width="19.85546875" style="3" customWidth="1"/>
    <col min="6421" max="6436" width="0" style="3" hidden="1" customWidth="1"/>
    <col min="6437" max="6656" width="9.140625" style="3"/>
    <col min="6657" max="6657" width="2.7109375" style="3" customWidth="1"/>
    <col min="6658" max="6658" width="55.28515625" style="3" customWidth="1"/>
    <col min="6659" max="6659" width="13.85546875" style="3" customWidth="1"/>
    <col min="6660" max="6660" width="15.7109375" style="3" customWidth="1"/>
    <col min="6661" max="6661" width="14" style="3" customWidth="1"/>
    <col min="6662" max="6662" width="13.85546875" style="3" customWidth="1"/>
    <col min="6663" max="6663" width="0" style="3" hidden="1" customWidth="1"/>
    <col min="6664" max="6665" width="9.140625" style="3"/>
    <col min="6666" max="6666" width="9" style="3" customWidth="1"/>
    <col min="6667" max="6667" width="9.140625" style="3"/>
    <col min="6668" max="6668" width="11.28515625" style="3" customWidth="1"/>
    <col min="6669" max="6669" width="9.140625" style="3"/>
    <col min="6670" max="6670" width="12.28515625" style="3" customWidth="1"/>
    <col min="6671" max="6674" width="9.140625" style="3"/>
    <col min="6675" max="6675" width="11.85546875" style="3" customWidth="1"/>
    <col min="6676" max="6676" width="19.85546875" style="3" customWidth="1"/>
    <col min="6677" max="6692" width="0" style="3" hidden="1" customWidth="1"/>
    <col min="6693" max="6912" width="9.140625" style="3"/>
    <col min="6913" max="6913" width="2.7109375" style="3" customWidth="1"/>
    <col min="6914" max="6914" width="55.28515625" style="3" customWidth="1"/>
    <col min="6915" max="6915" width="13.85546875" style="3" customWidth="1"/>
    <col min="6916" max="6916" width="15.7109375" style="3" customWidth="1"/>
    <col min="6917" max="6917" width="14" style="3" customWidth="1"/>
    <col min="6918" max="6918" width="13.85546875" style="3" customWidth="1"/>
    <col min="6919" max="6919" width="0" style="3" hidden="1" customWidth="1"/>
    <col min="6920" max="6921" width="9.140625" style="3"/>
    <col min="6922" max="6922" width="9" style="3" customWidth="1"/>
    <col min="6923" max="6923" width="9.140625" style="3"/>
    <col min="6924" max="6924" width="11.28515625" style="3" customWidth="1"/>
    <col min="6925" max="6925" width="9.140625" style="3"/>
    <col min="6926" max="6926" width="12.28515625" style="3" customWidth="1"/>
    <col min="6927" max="6930" width="9.140625" style="3"/>
    <col min="6931" max="6931" width="11.85546875" style="3" customWidth="1"/>
    <col min="6932" max="6932" width="19.85546875" style="3" customWidth="1"/>
    <col min="6933" max="6948" width="0" style="3" hidden="1" customWidth="1"/>
    <col min="6949" max="7168" width="9.140625" style="3"/>
    <col min="7169" max="7169" width="2.7109375" style="3" customWidth="1"/>
    <col min="7170" max="7170" width="55.28515625" style="3" customWidth="1"/>
    <col min="7171" max="7171" width="13.85546875" style="3" customWidth="1"/>
    <col min="7172" max="7172" width="15.7109375" style="3" customWidth="1"/>
    <col min="7173" max="7173" width="14" style="3" customWidth="1"/>
    <col min="7174" max="7174" width="13.85546875" style="3" customWidth="1"/>
    <col min="7175" max="7175" width="0" style="3" hidden="1" customWidth="1"/>
    <col min="7176" max="7177" width="9.140625" style="3"/>
    <col min="7178" max="7178" width="9" style="3" customWidth="1"/>
    <col min="7179" max="7179" width="9.140625" style="3"/>
    <col min="7180" max="7180" width="11.28515625" style="3" customWidth="1"/>
    <col min="7181" max="7181" width="9.140625" style="3"/>
    <col min="7182" max="7182" width="12.28515625" style="3" customWidth="1"/>
    <col min="7183" max="7186" width="9.140625" style="3"/>
    <col min="7187" max="7187" width="11.85546875" style="3" customWidth="1"/>
    <col min="7188" max="7188" width="19.85546875" style="3" customWidth="1"/>
    <col min="7189" max="7204" width="0" style="3" hidden="1" customWidth="1"/>
    <col min="7205" max="7424" width="9.140625" style="3"/>
    <col min="7425" max="7425" width="2.7109375" style="3" customWidth="1"/>
    <col min="7426" max="7426" width="55.28515625" style="3" customWidth="1"/>
    <col min="7427" max="7427" width="13.85546875" style="3" customWidth="1"/>
    <col min="7428" max="7428" width="15.7109375" style="3" customWidth="1"/>
    <col min="7429" max="7429" width="14" style="3" customWidth="1"/>
    <col min="7430" max="7430" width="13.85546875" style="3" customWidth="1"/>
    <col min="7431" max="7431" width="0" style="3" hidden="1" customWidth="1"/>
    <col min="7432" max="7433" width="9.140625" style="3"/>
    <col min="7434" max="7434" width="9" style="3" customWidth="1"/>
    <col min="7435" max="7435" width="9.140625" style="3"/>
    <col min="7436" max="7436" width="11.28515625" style="3" customWidth="1"/>
    <col min="7437" max="7437" width="9.140625" style="3"/>
    <col min="7438" max="7438" width="12.28515625" style="3" customWidth="1"/>
    <col min="7439" max="7442" width="9.140625" style="3"/>
    <col min="7443" max="7443" width="11.85546875" style="3" customWidth="1"/>
    <col min="7444" max="7444" width="19.85546875" style="3" customWidth="1"/>
    <col min="7445" max="7460" width="0" style="3" hidden="1" customWidth="1"/>
    <col min="7461" max="7680" width="9.140625" style="3"/>
    <col min="7681" max="7681" width="2.7109375" style="3" customWidth="1"/>
    <col min="7682" max="7682" width="55.28515625" style="3" customWidth="1"/>
    <col min="7683" max="7683" width="13.85546875" style="3" customWidth="1"/>
    <col min="7684" max="7684" width="15.7109375" style="3" customWidth="1"/>
    <col min="7685" max="7685" width="14" style="3" customWidth="1"/>
    <col min="7686" max="7686" width="13.85546875" style="3" customWidth="1"/>
    <col min="7687" max="7687" width="0" style="3" hidden="1" customWidth="1"/>
    <col min="7688" max="7689" width="9.140625" style="3"/>
    <col min="7690" max="7690" width="9" style="3" customWidth="1"/>
    <col min="7691" max="7691" width="9.140625" style="3"/>
    <col min="7692" max="7692" width="11.28515625" style="3" customWidth="1"/>
    <col min="7693" max="7693" width="9.140625" style="3"/>
    <col min="7694" max="7694" width="12.28515625" style="3" customWidth="1"/>
    <col min="7695" max="7698" width="9.140625" style="3"/>
    <col min="7699" max="7699" width="11.85546875" style="3" customWidth="1"/>
    <col min="7700" max="7700" width="19.85546875" style="3" customWidth="1"/>
    <col min="7701" max="7716" width="0" style="3" hidden="1" customWidth="1"/>
    <col min="7717" max="7936" width="9.140625" style="3"/>
    <col min="7937" max="7937" width="2.7109375" style="3" customWidth="1"/>
    <col min="7938" max="7938" width="55.28515625" style="3" customWidth="1"/>
    <col min="7939" max="7939" width="13.85546875" style="3" customWidth="1"/>
    <col min="7940" max="7940" width="15.7109375" style="3" customWidth="1"/>
    <col min="7941" max="7941" width="14" style="3" customWidth="1"/>
    <col min="7942" max="7942" width="13.85546875" style="3" customWidth="1"/>
    <col min="7943" max="7943" width="0" style="3" hidden="1" customWidth="1"/>
    <col min="7944" max="7945" width="9.140625" style="3"/>
    <col min="7946" max="7946" width="9" style="3" customWidth="1"/>
    <col min="7947" max="7947" width="9.140625" style="3"/>
    <col min="7948" max="7948" width="11.28515625" style="3" customWidth="1"/>
    <col min="7949" max="7949" width="9.140625" style="3"/>
    <col min="7950" max="7950" width="12.28515625" style="3" customWidth="1"/>
    <col min="7951" max="7954" width="9.140625" style="3"/>
    <col min="7955" max="7955" width="11.85546875" style="3" customWidth="1"/>
    <col min="7956" max="7956" width="19.85546875" style="3" customWidth="1"/>
    <col min="7957" max="7972" width="0" style="3" hidden="1" customWidth="1"/>
    <col min="7973" max="8192" width="9.140625" style="3"/>
    <col min="8193" max="8193" width="2.7109375" style="3" customWidth="1"/>
    <col min="8194" max="8194" width="55.28515625" style="3" customWidth="1"/>
    <col min="8195" max="8195" width="13.85546875" style="3" customWidth="1"/>
    <col min="8196" max="8196" width="15.7109375" style="3" customWidth="1"/>
    <col min="8197" max="8197" width="14" style="3" customWidth="1"/>
    <col min="8198" max="8198" width="13.85546875" style="3" customWidth="1"/>
    <col min="8199" max="8199" width="0" style="3" hidden="1" customWidth="1"/>
    <col min="8200" max="8201" width="9.140625" style="3"/>
    <col min="8202" max="8202" width="9" style="3" customWidth="1"/>
    <col min="8203" max="8203" width="9.140625" style="3"/>
    <col min="8204" max="8204" width="11.28515625" style="3" customWidth="1"/>
    <col min="8205" max="8205" width="9.140625" style="3"/>
    <col min="8206" max="8206" width="12.28515625" style="3" customWidth="1"/>
    <col min="8207" max="8210" width="9.140625" style="3"/>
    <col min="8211" max="8211" width="11.85546875" style="3" customWidth="1"/>
    <col min="8212" max="8212" width="19.85546875" style="3" customWidth="1"/>
    <col min="8213" max="8228" width="0" style="3" hidden="1" customWidth="1"/>
    <col min="8229" max="8448" width="9.140625" style="3"/>
    <col min="8449" max="8449" width="2.7109375" style="3" customWidth="1"/>
    <col min="8450" max="8450" width="55.28515625" style="3" customWidth="1"/>
    <col min="8451" max="8451" width="13.85546875" style="3" customWidth="1"/>
    <col min="8452" max="8452" width="15.7109375" style="3" customWidth="1"/>
    <col min="8453" max="8453" width="14" style="3" customWidth="1"/>
    <col min="8454" max="8454" width="13.85546875" style="3" customWidth="1"/>
    <col min="8455" max="8455" width="0" style="3" hidden="1" customWidth="1"/>
    <col min="8456" max="8457" width="9.140625" style="3"/>
    <col min="8458" max="8458" width="9" style="3" customWidth="1"/>
    <col min="8459" max="8459" width="9.140625" style="3"/>
    <col min="8460" max="8460" width="11.28515625" style="3" customWidth="1"/>
    <col min="8461" max="8461" width="9.140625" style="3"/>
    <col min="8462" max="8462" width="12.28515625" style="3" customWidth="1"/>
    <col min="8463" max="8466" width="9.140625" style="3"/>
    <col min="8467" max="8467" width="11.85546875" style="3" customWidth="1"/>
    <col min="8468" max="8468" width="19.85546875" style="3" customWidth="1"/>
    <col min="8469" max="8484" width="0" style="3" hidden="1" customWidth="1"/>
    <col min="8485" max="8704" width="9.140625" style="3"/>
    <col min="8705" max="8705" width="2.7109375" style="3" customWidth="1"/>
    <col min="8706" max="8706" width="55.28515625" style="3" customWidth="1"/>
    <col min="8707" max="8707" width="13.85546875" style="3" customWidth="1"/>
    <col min="8708" max="8708" width="15.7109375" style="3" customWidth="1"/>
    <col min="8709" max="8709" width="14" style="3" customWidth="1"/>
    <col min="8710" max="8710" width="13.85546875" style="3" customWidth="1"/>
    <col min="8711" max="8711" width="0" style="3" hidden="1" customWidth="1"/>
    <col min="8712" max="8713" width="9.140625" style="3"/>
    <col min="8714" max="8714" width="9" style="3" customWidth="1"/>
    <col min="8715" max="8715" width="9.140625" style="3"/>
    <col min="8716" max="8716" width="11.28515625" style="3" customWidth="1"/>
    <col min="8717" max="8717" width="9.140625" style="3"/>
    <col min="8718" max="8718" width="12.28515625" style="3" customWidth="1"/>
    <col min="8719" max="8722" width="9.140625" style="3"/>
    <col min="8723" max="8723" width="11.85546875" style="3" customWidth="1"/>
    <col min="8724" max="8724" width="19.85546875" style="3" customWidth="1"/>
    <col min="8725" max="8740" width="0" style="3" hidden="1" customWidth="1"/>
    <col min="8741" max="8960" width="9.140625" style="3"/>
    <col min="8961" max="8961" width="2.7109375" style="3" customWidth="1"/>
    <col min="8962" max="8962" width="55.28515625" style="3" customWidth="1"/>
    <col min="8963" max="8963" width="13.85546875" style="3" customWidth="1"/>
    <col min="8964" max="8964" width="15.7109375" style="3" customWidth="1"/>
    <col min="8965" max="8965" width="14" style="3" customWidth="1"/>
    <col min="8966" max="8966" width="13.85546875" style="3" customWidth="1"/>
    <col min="8967" max="8967" width="0" style="3" hidden="1" customWidth="1"/>
    <col min="8968" max="8969" width="9.140625" style="3"/>
    <col min="8970" max="8970" width="9" style="3" customWidth="1"/>
    <col min="8971" max="8971" width="9.140625" style="3"/>
    <col min="8972" max="8972" width="11.28515625" style="3" customWidth="1"/>
    <col min="8973" max="8973" width="9.140625" style="3"/>
    <col min="8974" max="8974" width="12.28515625" style="3" customWidth="1"/>
    <col min="8975" max="8978" width="9.140625" style="3"/>
    <col min="8979" max="8979" width="11.85546875" style="3" customWidth="1"/>
    <col min="8980" max="8980" width="19.85546875" style="3" customWidth="1"/>
    <col min="8981" max="8996" width="0" style="3" hidden="1" customWidth="1"/>
    <col min="8997" max="9216" width="9.140625" style="3"/>
    <col min="9217" max="9217" width="2.7109375" style="3" customWidth="1"/>
    <col min="9218" max="9218" width="55.28515625" style="3" customWidth="1"/>
    <col min="9219" max="9219" width="13.85546875" style="3" customWidth="1"/>
    <col min="9220" max="9220" width="15.7109375" style="3" customWidth="1"/>
    <col min="9221" max="9221" width="14" style="3" customWidth="1"/>
    <col min="9222" max="9222" width="13.85546875" style="3" customWidth="1"/>
    <col min="9223" max="9223" width="0" style="3" hidden="1" customWidth="1"/>
    <col min="9224" max="9225" width="9.140625" style="3"/>
    <col min="9226" max="9226" width="9" style="3" customWidth="1"/>
    <col min="9227" max="9227" width="9.140625" style="3"/>
    <col min="9228" max="9228" width="11.28515625" style="3" customWidth="1"/>
    <col min="9229" max="9229" width="9.140625" style="3"/>
    <col min="9230" max="9230" width="12.28515625" style="3" customWidth="1"/>
    <col min="9231" max="9234" width="9.140625" style="3"/>
    <col min="9235" max="9235" width="11.85546875" style="3" customWidth="1"/>
    <col min="9236" max="9236" width="19.85546875" style="3" customWidth="1"/>
    <col min="9237" max="9252" width="0" style="3" hidden="1" customWidth="1"/>
    <col min="9253" max="9472" width="9.140625" style="3"/>
    <col min="9473" max="9473" width="2.7109375" style="3" customWidth="1"/>
    <col min="9474" max="9474" width="55.28515625" style="3" customWidth="1"/>
    <col min="9475" max="9475" width="13.85546875" style="3" customWidth="1"/>
    <col min="9476" max="9476" width="15.7109375" style="3" customWidth="1"/>
    <col min="9477" max="9477" width="14" style="3" customWidth="1"/>
    <col min="9478" max="9478" width="13.85546875" style="3" customWidth="1"/>
    <col min="9479" max="9479" width="0" style="3" hidden="1" customWidth="1"/>
    <col min="9480" max="9481" width="9.140625" style="3"/>
    <col min="9482" max="9482" width="9" style="3" customWidth="1"/>
    <col min="9483" max="9483" width="9.140625" style="3"/>
    <col min="9484" max="9484" width="11.28515625" style="3" customWidth="1"/>
    <col min="9485" max="9485" width="9.140625" style="3"/>
    <col min="9486" max="9486" width="12.28515625" style="3" customWidth="1"/>
    <col min="9487" max="9490" width="9.140625" style="3"/>
    <col min="9491" max="9491" width="11.85546875" style="3" customWidth="1"/>
    <col min="9492" max="9492" width="19.85546875" style="3" customWidth="1"/>
    <col min="9493" max="9508" width="0" style="3" hidden="1" customWidth="1"/>
    <col min="9509" max="9728" width="9.140625" style="3"/>
    <col min="9729" max="9729" width="2.7109375" style="3" customWidth="1"/>
    <col min="9730" max="9730" width="55.28515625" style="3" customWidth="1"/>
    <col min="9731" max="9731" width="13.85546875" style="3" customWidth="1"/>
    <col min="9732" max="9732" width="15.7109375" style="3" customWidth="1"/>
    <col min="9733" max="9733" width="14" style="3" customWidth="1"/>
    <col min="9734" max="9734" width="13.85546875" style="3" customWidth="1"/>
    <col min="9735" max="9735" width="0" style="3" hidden="1" customWidth="1"/>
    <col min="9736" max="9737" width="9.140625" style="3"/>
    <col min="9738" max="9738" width="9" style="3" customWidth="1"/>
    <col min="9739" max="9739" width="9.140625" style="3"/>
    <col min="9740" max="9740" width="11.28515625" style="3" customWidth="1"/>
    <col min="9741" max="9741" width="9.140625" style="3"/>
    <col min="9742" max="9742" width="12.28515625" style="3" customWidth="1"/>
    <col min="9743" max="9746" width="9.140625" style="3"/>
    <col min="9747" max="9747" width="11.85546875" style="3" customWidth="1"/>
    <col min="9748" max="9748" width="19.85546875" style="3" customWidth="1"/>
    <col min="9749" max="9764" width="0" style="3" hidden="1" customWidth="1"/>
    <col min="9765" max="9984" width="9.140625" style="3"/>
    <col min="9985" max="9985" width="2.7109375" style="3" customWidth="1"/>
    <col min="9986" max="9986" width="55.28515625" style="3" customWidth="1"/>
    <col min="9987" max="9987" width="13.85546875" style="3" customWidth="1"/>
    <col min="9988" max="9988" width="15.7109375" style="3" customWidth="1"/>
    <col min="9989" max="9989" width="14" style="3" customWidth="1"/>
    <col min="9990" max="9990" width="13.85546875" style="3" customWidth="1"/>
    <col min="9991" max="9991" width="0" style="3" hidden="1" customWidth="1"/>
    <col min="9992" max="9993" width="9.140625" style="3"/>
    <col min="9994" max="9994" width="9" style="3" customWidth="1"/>
    <col min="9995" max="9995" width="9.140625" style="3"/>
    <col min="9996" max="9996" width="11.28515625" style="3" customWidth="1"/>
    <col min="9997" max="9997" width="9.140625" style="3"/>
    <col min="9998" max="9998" width="12.28515625" style="3" customWidth="1"/>
    <col min="9999" max="10002" width="9.140625" style="3"/>
    <col min="10003" max="10003" width="11.85546875" style="3" customWidth="1"/>
    <col min="10004" max="10004" width="19.85546875" style="3" customWidth="1"/>
    <col min="10005" max="10020" width="0" style="3" hidden="1" customWidth="1"/>
    <col min="10021" max="10240" width="9.140625" style="3"/>
    <col min="10241" max="10241" width="2.7109375" style="3" customWidth="1"/>
    <col min="10242" max="10242" width="55.28515625" style="3" customWidth="1"/>
    <col min="10243" max="10243" width="13.85546875" style="3" customWidth="1"/>
    <col min="10244" max="10244" width="15.7109375" style="3" customWidth="1"/>
    <col min="10245" max="10245" width="14" style="3" customWidth="1"/>
    <col min="10246" max="10246" width="13.85546875" style="3" customWidth="1"/>
    <col min="10247" max="10247" width="0" style="3" hidden="1" customWidth="1"/>
    <col min="10248" max="10249" width="9.140625" style="3"/>
    <col min="10250" max="10250" width="9" style="3" customWidth="1"/>
    <col min="10251" max="10251" width="9.140625" style="3"/>
    <col min="10252" max="10252" width="11.28515625" style="3" customWidth="1"/>
    <col min="10253" max="10253" width="9.140625" style="3"/>
    <col min="10254" max="10254" width="12.28515625" style="3" customWidth="1"/>
    <col min="10255" max="10258" width="9.140625" style="3"/>
    <col min="10259" max="10259" width="11.85546875" style="3" customWidth="1"/>
    <col min="10260" max="10260" width="19.85546875" style="3" customWidth="1"/>
    <col min="10261" max="10276" width="0" style="3" hidden="1" customWidth="1"/>
    <col min="10277" max="10496" width="9.140625" style="3"/>
    <col min="10497" max="10497" width="2.7109375" style="3" customWidth="1"/>
    <col min="10498" max="10498" width="55.28515625" style="3" customWidth="1"/>
    <col min="10499" max="10499" width="13.85546875" style="3" customWidth="1"/>
    <col min="10500" max="10500" width="15.7109375" style="3" customWidth="1"/>
    <col min="10501" max="10501" width="14" style="3" customWidth="1"/>
    <col min="10502" max="10502" width="13.85546875" style="3" customWidth="1"/>
    <col min="10503" max="10503" width="0" style="3" hidden="1" customWidth="1"/>
    <col min="10504" max="10505" width="9.140625" style="3"/>
    <col min="10506" max="10506" width="9" style="3" customWidth="1"/>
    <col min="10507" max="10507" width="9.140625" style="3"/>
    <col min="10508" max="10508" width="11.28515625" style="3" customWidth="1"/>
    <col min="10509" max="10509" width="9.140625" style="3"/>
    <col min="10510" max="10510" width="12.28515625" style="3" customWidth="1"/>
    <col min="10511" max="10514" width="9.140625" style="3"/>
    <col min="10515" max="10515" width="11.85546875" style="3" customWidth="1"/>
    <col min="10516" max="10516" width="19.85546875" style="3" customWidth="1"/>
    <col min="10517" max="10532" width="0" style="3" hidden="1" customWidth="1"/>
    <col min="10533" max="10752" width="9.140625" style="3"/>
    <col min="10753" max="10753" width="2.7109375" style="3" customWidth="1"/>
    <col min="10754" max="10754" width="55.28515625" style="3" customWidth="1"/>
    <col min="10755" max="10755" width="13.85546875" style="3" customWidth="1"/>
    <col min="10756" max="10756" width="15.7109375" style="3" customWidth="1"/>
    <col min="10757" max="10757" width="14" style="3" customWidth="1"/>
    <col min="10758" max="10758" width="13.85546875" style="3" customWidth="1"/>
    <col min="10759" max="10759" width="0" style="3" hidden="1" customWidth="1"/>
    <col min="10760" max="10761" width="9.140625" style="3"/>
    <col min="10762" max="10762" width="9" style="3" customWidth="1"/>
    <col min="10763" max="10763" width="9.140625" style="3"/>
    <col min="10764" max="10764" width="11.28515625" style="3" customWidth="1"/>
    <col min="10765" max="10765" width="9.140625" style="3"/>
    <col min="10766" max="10766" width="12.28515625" style="3" customWidth="1"/>
    <col min="10767" max="10770" width="9.140625" style="3"/>
    <col min="10771" max="10771" width="11.85546875" style="3" customWidth="1"/>
    <col min="10772" max="10772" width="19.85546875" style="3" customWidth="1"/>
    <col min="10773" max="10788" width="0" style="3" hidden="1" customWidth="1"/>
    <col min="10789" max="11008" width="9.140625" style="3"/>
    <col min="11009" max="11009" width="2.7109375" style="3" customWidth="1"/>
    <col min="11010" max="11010" width="55.28515625" style="3" customWidth="1"/>
    <col min="11011" max="11011" width="13.85546875" style="3" customWidth="1"/>
    <col min="11012" max="11012" width="15.7109375" style="3" customWidth="1"/>
    <col min="11013" max="11013" width="14" style="3" customWidth="1"/>
    <col min="11014" max="11014" width="13.85546875" style="3" customWidth="1"/>
    <col min="11015" max="11015" width="0" style="3" hidden="1" customWidth="1"/>
    <col min="11016" max="11017" width="9.140625" style="3"/>
    <col min="11018" max="11018" width="9" style="3" customWidth="1"/>
    <col min="11019" max="11019" width="9.140625" style="3"/>
    <col min="11020" max="11020" width="11.28515625" style="3" customWidth="1"/>
    <col min="11021" max="11021" width="9.140625" style="3"/>
    <col min="11022" max="11022" width="12.28515625" style="3" customWidth="1"/>
    <col min="11023" max="11026" width="9.140625" style="3"/>
    <col min="11027" max="11027" width="11.85546875" style="3" customWidth="1"/>
    <col min="11028" max="11028" width="19.85546875" style="3" customWidth="1"/>
    <col min="11029" max="11044" width="0" style="3" hidden="1" customWidth="1"/>
    <col min="11045" max="11264" width="9.140625" style="3"/>
    <col min="11265" max="11265" width="2.7109375" style="3" customWidth="1"/>
    <col min="11266" max="11266" width="55.28515625" style="3" customWidth="1"/>
    <col min="11267" max="11267" width="13.85546875" style="3" customWidth="1"/>
    <col min="11268" max="11268" width="15.7109375" style="3" customWidth="1"/>
    <col min="11269" max="11269" width="14" style="3" customWidth="1"/>
    <col min="11270" max="11270" width="13.85546875" style="3" customWidth="1"/>
    <col min="11271" max="11271" width="0" style="3" hidden="1" customWidth="1"/>
    <col min="11272" max="11273" width="9.140625" style="3"/>
    <col min="11274" max="11274" width="9" style="3" customWidth="1"/>
    <col min="11275" max="11275" width="9.140625" style="3"/>
    <col min="11276" max="11276" width="11.28515625" style="3" customWidth="1"/>
    <col min="11277" max="11277" width="9.140625" style="3"/>
    <col min="11278" max="11278" width="12.28515625" style="3" customWidth="1"/>
    <col min="11279" max="11282" width="9.140625" style="3"/>
    <col min="11283" max="11283" width="11.85546875" style="3" customWidth="1"/>
    <col min="11284" max="11284" width="19.85546875" style="3" customWidth="1"/>
    <col min="11285" max="11300" width="0" style="3" hidden="1" customWidth="1"/>
    <col min="11301" max="11520" width="9.140625" style="3"/>
    <col min="11521" max="11521" width="2.7109375" style="3" customWidth="1"/>
    <col min="11522" max="11522" width="55.28515625" style="3" customWidth="1"/>
    <col min="11523" max="11523" width="13.85546875" style="3" customWidth="1"/>
    <col min="11524" max="11524" width="15.7109375" style="3" customWidth="1"/>
    <col min="11525" max="11525" width="14" style="3" customWidth="1"/>
    <col min="11526" max="11526" width="13.85546875" style="3" customWidth="1"/>
    <col min="11527" max="11527" width="0" style="3" hidden="1" customWidth="1"/>
    <col min="11528" max="11529" width="9.140625" style="3"/>
    <col min="11530" max="11530" width="9" style="3" customWidth="1"/>
    <col min="11531" max="11531" width="9.140625" style="3"/>
    <col min="11532" max="11532" width="11.28515625" style="3" customWidth="1"/>
    <col min="11533" max="11533" width="9.140625" style="3"/>
    <col min="11534" max="11534" width="12.28515625" style="3" customWidth="1"/>
    <col min="11535" max="11538" width="9.140625" style="3"/>
    <col min="11539" max="11539" width="11.85546875" style="3" customWidth="1"/>
    <col min="11540" max="11540" width="19.85546875" style="3" customWidth="1"/>
    <col min="11541" max="11556" width="0" style="3" hidden="1" customWidth="1"/>
    <col min="11557" max="11776" width="9.140625" style="3"/>
    <col min="11777" max="11777" width="2.7109375" style="3" customWidth="1"/>
    <col min="11778" max="11778" width="55.28515625" style="3" customWidth="1"/>
    <col min="11779" max="11779" width="13.85546875" style="3" customWidth="1"/>
    <col min="11780" max="11780" width="15.7109375" style="3" customWidth="1"/>
    <col min="11781" max="11781" width="14" style="3" customWidth="1"/>
    <col min="11782" max="11782" width="13.85546875" style="3" customWidth="1"/>
    <col min="11783" max="11783" width="0" style="3" hidden="1" customWidth="1"/>
    <col min="11784" max="11785" width="9.140625" style="3"/>
    <col min="11786" max="11786" width="9" style="3" customWidth="1"/>
    <col min="11787" max="11787" width="9.140625" style="3"/>
    <col min="11788" max="11788" width="11.28515625" style="3" customWidth="1"/>
    <col min="11789" max="11789" width="9.140625" style="3"/>
    <col min="11790" max="11790" width="12.28515625" style="3" customWidth="1"/>
    <col min="11791" max="11794" width="9.140625" style="3"/>
    <col min="11795" max="11795" width="11.85546875" style="3" customWidth="1"/>
    <col min="11796" max="11796" width="19.85546875" style="3" customWidth="1"/>
    <col min="11797" max="11812" width="0" style="3" hidden="1" customWidth="1"/>
    <col min="11813" max="12032" width="9.140625" style="3"/>
    <col min="12033" max="12033" width="2.7109375" style="3" customWidth="1"/>
    <col min="12034" max="12034" width="55.28515625" style="3" customWidth="1"/>
    <col min="12035" max="12035" width="13.85546875" style="3" customWidth="1"/>
    <col min="12036" max="12036" width="15.7109375" style="3" customWidth="1"/>
    <col min="12037" max="12037" width="14" style="3" customWidth="1"/>
    <col min="12038" max="12038" width="13.85546875" style="3" customWidth="1"/>
    <col min="12039" max="12039" width="0" style="3" hidden="1" customWidth="1"/>
    <col min="12040" max="12041" width="9.140625" style="3"/>
    <col min="12042" max="12042" width="9" style="3" customWidth="1"/>
    <col min="12043" max="12043" width="9.140625" style="3"/>
    <col min="12044" max="12044" width="11.28515625" style="3" customWidth="1"/>
    <col min="12045" max="12045" width="9.140625" style="3"/>
    <col min="12046" max="12046" width="12.28515625" style="3" customWidth="1"/>
    <col min="12047" max="12050" width="9.140625" style="3"/>
    <col min="12051" max="12051" width="11.85546875" style="3" customWidth="1"/>
    <col min="12052" max="12052" width="19.85546875" style="3" customWidth="1"/>
    <col min="12053" max="12068" width="0" style="3" hidden="1" customWidth="1"/>
    <col min="12069" max="12288" width="9.140625" style="3"/>
    <col min="12289" max="12289" width="2.7109375" style="3" customWidth="1"/>
    <col min="12290" max="12290" width="55.28515625" style="3" customWidth="1"/>
    <col min="12291" max="12291" width="13.85546875" style="3" customWidth="1"/>
    <col min="12292" max="12292" width="15.7109375" style="3" customWidth="1"/>
    <col min="12293" max="12293" width="14" style="3" customWidth="1"/>
    <col min="12294" max="12294" width="13.85546875" style="3" customWidth="1"/>
    <col min="12295" max="12295" width="0" style="3" hidden="1" customWidth="1"/>
    <col min="12296" max="12297" width="9.140625" style="3"/>
    <col min="12298" max="12298" width="9" style="3" customWidth="1"/>
    <col min="12299" max="12299" width="9.140625" style="3"/>
    <col min="12300" max="12300" width="11.28515625" style="3" customWidth="1"/>
    <col min="12301" max="12301" width="9.140625" style="3"/>
    <col min="12302" max="12302" width="12.28515625" style="3" customWidth="1"/>
    <col min="12303" max="12306" width="9.140625" style="3"/>
    <col min="12307" max="12307" width="11.85546875" style="3" customWidth="1"/>
    <col min="12308" max="12308" width="19.85546875" style="3" customWidth="1"/>
    <col min="12309" max="12324" width="0" style="3" hidden="1" customWidth="1"/>
    <col min="12325" max="12544" width="9.140625" style="3"/>
    <col min="12545" max="12545" width="2.7109375" style="3" customWidth="1"/>
    <col min="12546" max="12546" width="55.28515625" style="3" customWidth="1"/>
    <col min="12547" max="12547" width="13.85546875" style="3" customWidth="1"/>
    <col min="12548" max="12548" width="15.7109375" style="3" customWidth="1"/>
    <col min="12549" max="12549" width="14" style="3" customWidth="1"/>
    <col min="12550" max="12550" width="13.85546875" style="3" customWidth="1"/>
    <col min="12551" max="12551" width="0" style="3" hidden="1" customWidth="1"/>
    <col min="12552" max="12553" width="9.140625" style="3"/>
    <col min="12554" max="12554" width="9" style="3" customWidth="1"/>
    <col min="12555" max="12555" width="9.140625" style="3"/>
    <col min="12556" max="12556" width="11.28515625" style="3" customWidth="1"/>
    <col min="12557" max="12557" width="9.140625" style="3"/>
    <col min="12558" max="12558" width="12.28515625" style="3" customWidth="1"/>
    <col min="12559" max="12562" width="9.140625" style="3"/>
    <col min="12563" max="12563" width="11.85546875" style="3" customWidth="1"/>
    <col min="12564" max="12564" width="19.85546875" style="3" customWidth="1"/>
    <col min="12565" max="12580" width="0" style="3" hidden="1" customWidth="1"/>
    <col min="12581" max="12800" width="9.140625" style="3"/>
    <col min="12801" max="12801" width="2.7109375" style="3" customWidth="1"/>
    <col min="12802" max="12802" width="55.28515625" style="3" customWidth="1"/>
    <col min="12803" max="12803" width="13.85546875" style="3" customWidth="1"/>
    <col min="12804" max="12804" width="15.7109375" style="3" customWidth="1"/>
    <col min="12805" max="12805" width="14" style="3" customWidth="1"/>
    <col min="12806" max="12806" width="13.85546875" style="3" customWidth="1"/>
    <col min="12807" max="12807" width="0" style="3" hidden="1" customWidth="1"/>
    <col min="12808" max="12809" width="9.140625" style="3"/>
    <col min="12810" max="12810" width="9" style="3" customWidth="1"/>
    <col min="12811" max="12811" width="9.140625" style="3"/>
    <col min="12812" max="12812" width="11.28515625" style="3" customWidth="1"/>
    <col min="12813" max="12813" width="9.140625" style="3"/>
    <col min="12814" max="12814" width="12.28515625" style="3" customWidth="1"/>
    <col min="12815" max="12818" width="9.140625" style="3"/>
    <col min="12819" max="12819" width="11.85546875" style="3" customWidth="1"/>
    <col min="12820" max="12820" width="19.85546875" style="3" customWidth="1"/>
    <col min="12821" max="12836" width="0" style="3" hidden="1" customWidth="1"/>
    <col min="12837" max="13056" width="9.140625" style="3"/>
    <col min="13057" max="13057" width="2.7109375" style="3" customWidth="1"/>
    <col min="13058" max="13058" width="55.28515625" style="3" customWidth="1"/>
    <col min="13059" max="13059" width="13.85546875" style="3" customWidth="1"/>
    <col min="13060" max="13060" width="15.7109375" style="3" customWidth="1"/>
    <col min="13061" max="13061" width="14" style="3" customWidth="1"/>
    <col min="13062" max="13062" width="13.85546875" style="3" customWidth="1"/>
    <col min="13063" max="13063" width="0" style="3" hidden="1" customWidth="1"/>
    <col min="13064" max="13065" width="9.140625" style="3"/>
    <col min="13066" max="13066" width="9" style="3" customWidth="1"/>
    <col min="13067" max="13067" width="9.140625" style="3"/>
    <col min="13068" max="13068" width="11.28515625" style="3" customWidth="1"/>
    <col min="13069" max="13069" width="9.140625" style="3"/>
    <col min="13070" max="13070" width="12.28515625" style="3" customWidth="1"/>
    <col min="13071" max="13074" width="9.140625" style="3"/>
    <col min="13075" max="13075" width="11.85546875" style="3" customWidth="1"/>
    <col min="13076" max="13076" width="19.85546875" style="3" customWidth="1"/>
    <col min="13077" max="13092" width="0" style="3" hidden="1" customWidth="1"/>
    <col min="13093" max="13312" width="9.140625" style="3"/>
    <col min="13313" max="13313" width="2.7109375" style="3" customWidth="1"/>
    <col min="13314" max="13314" width="55.28515625" style="3" customWidth="1"/>
    <col min="13315" max="13315" width="13.85546875" style="3" customWidth="1"/>
    <col min="13316" max="13316" width="15.7109375" style="3" customWidth="1"/>
    <col min="13317" max="13317" width="14" style="3" customWidth="1"/>
    <col min="13318" max="13318" width="13.85546875" style="3" customWidth="1"/>
    <col min="13319" max="13319" width="0" style="3" hidden="1" customWidth="1"/>
    <col min="13320" max="13321" width="9.140625" style="3"/>
    <col min="13322" max="13322" width="9" style="3" customWidth="1"/>
    <col min="13323" max="13323" width="9.140625" style="3"/>
    <col min="13324" max="13324" width="11.28515625" style="3" customWidth="1"/>
    <col min="13325" max="13325" width="9.140625" style="3"/>
    <col min="13326" max="13326" width="12.28515625" style="3" customWidth="1"/>
    <col min="13327" max="13330" width="9.140625" style="3"/>
    <col min="13331" max="13331" width="11.85546875" style="3" customWidth="1"/>
    <col min="13332" max="13332" width="19.85546875" style="3" customWidth="1"/>
    <col min="13333" max="13348" width="0" style="3" hidden="1" customWidth="1"/>
    <col min="13349" max="13568" width="9.140625" style="3"/>
    <col min="13569" max="13569" width="2.7109375" style="3" customWidth="1"/>
    <col min="13570" max="13570" width="55.28515625" style="3" customWidth="1"/>
    <col min="13571" max="13571" width="13.85546875" style="3" customWidth="1"/>
    <col min="13572" max="13572" width="15.7109375" style="3" customWidth="1"/>
    <col min="13573" max="13573" width="14" style="3" customWidth="1"/>
    <col min="13574" max="13574" width="13.85546875" style="3" customWidth="1"/>
    <col min="13575" max="13575" width="0" style="3" hidden="1" customWidth="1"/>
    <col min="13576" max="13577" width="9.140625" style="3"/>
    <col min="13578" max="13578" width="9" style="3" customWidth="1"/>
    <col min="13579" max="13579" width="9.140625" style="3"/>
    <col min="13580" max="13580" width="11.28515625" style="3" customWidth="1"/>
    <col min="13581" max="13581" width="9.140625" style="3"/>
    <col min="13582" max="13582" width="12.28515625" style="3" customWidth="1"/>
    <col min="13583" max="13586" width="9.140625" style="3"/>
    <col min="13587" max="13587" width="11.85546875" style="3" customWidth="1"/>
    <col min="13588" max="13588" width="19.85546875" style="3" customWidth="1"/>
    <col min="13589" max="13604" width="0" style="3" hidden="1" customWidth="1"/>
    <col min="13605" max="13824" width="9.140625" style="3"/>
    <col min="13825" max="13825" width="2.7109375" style="3" customWidth="1"/>
    <col min="13826" max="13826" width="55.28515625" style="3" customWidth="1"/>
    <col min="13827" max="13827" width="13.85546875" style="3" customWidth="1"/>
    <col min="13828" max="13828" width="15.7109375" style="3" customWidth="1"/>
    <col min="13829" max="13829" width="14" style="3" customWidth="1"/>
    <col min="13830" max="13830" width="13.85546875" style="3" customWidth="1"/>
    <col min="13831" max="13831" width="0" style="3" hidden="1" customWidth="1"/>
    <col min="13832" max="13833" width="9.140625" style="3"/>
    <col min="13834" max="13834" width="9" style="3" customWidth="1"/>
    <col min="13835" max="13835" width="9.140625" style="3"/>
    <col min="13836" max="13836" width="11.28515625" style="3" customWidth="1"/>
    <col min="13837" max="13837" width="9.140625" style="3"/>
    <col min="13838" max="13838" width="12.28515625" style="3" customWidth="1"/>
    <col min="13839" max="13842" width="9.140625" style="3"/>
    <col min="13843" max="13843" width="11.85546875" style="3" customWidth="1"/>
    <col min="13844" max="13844" width="19.85546875" style="3" customWidth="1"/>
    <col min="13845" max="13860" width="0" style="3" hidden="1" customWidth="1"/>
    <col min="13861" max="14080" width="9.140625" style="3"/>
    <col min="14081" max="14081" width="2.7109375" style="3" customWidth="1"/>
    <col min="14082" max="14082" width="55.28515625" style="3" customWidth="1"/>
    <col min="14083" max="14083" width="13.85546875" style="3" customWidth="1"/>
    <col min="14084" max="14084" width="15.7109375" style="3" customWidth="1"/>
    <col min="14085" max="14085" width="14" style="3" customWidth="1"/>
    <col min="14086" max="14086" width="13.85546875" style="3" customWidth="1"/>
    <col min="14087" max="14087" width="0" style="3" hidden="1" customWidth="1"/>
    <col min="14088" max="14089" width="9.140625" style="3"/>
    <col min="14090" max="14090" width="9" style="3" customWidth="1"/>
    <col min="14091" max="14091" width="9.140625" style="3"/>
    <col min="14092" max="14092" width="11.28515625" style="3" customWidth="1"/>
    <col min="14093" max="14093" width="9.140625" style="3"/>
    <col min="14094" max="14094" width="12.28515625" style="3" customWidth="1"/>
    <col min="14095" max="14098" width="9.140625" style="3"/>
    <col min="14099" max="14099" width="11.85546875" style="3" customWidth="1"/>
    <col min="14100" max="14100" width="19.85546875" style="3" customWidth="1"/>
    <col min="14101" max="14116" width="0" style="3" hidden="1" customWidth="1"/>
    <col min="14117" max="14336" width="9.140625" style="3"/>
    <col min="14337" max="14337" width="2.7109375" style="3" customWidth="1"/>
    <col min="14338" max="14338" width="55.28515625" style="3" customWidth="1"/>
    <col min="14339" max="14339" width="13.85546875" style="3" customWidth="1"/>
    <col min="14340" max="14340" width="15.7109375" style="3" customWidth="1"/>
    <col min="14341" max="14341" width="14" style="3" customWidth="1"/>
    <col min="14342" max="14342" width="13.85546875" style="3" customWidth="1"/>
    <col min="14343" max="14343" width="0" style="3" hidden="1" customWidth="1"/>
    <col min="14344" max="14345" width="9.140625" style="3"/>
    <col min="14346" max="14346" width="9" style="3" customWidth="1"/>
    <col min="14347" max="14347" width="9.140625" style="3"/>
    <col min="14348" max="14348" width="11.28515625" style="3" customWidth="1"/>
    <col min="14349" max="14349" width="9.140625" style="3"/>
    <col min="14350" max="14350" width="12.28515625" style="3" customWidth="1"/>
    <col min="14351" max="14354" width="9.140625" style="3"/>
    <col min="14355" max="14355" width="11.85546875" style="3" customWidth="1"/>
    <col min="14356" max="14356" width="19.85546875" style="3" customWidth="1"/>
    <col min="14357" max="14372" width="0" style="3" hidden="1" customWidth="1"/>
    <col min="14373" max="14592" width="9.140625" style="3"/>
    <col min="14593" max="14593" width="2.7109375" style="3" customWidth="1"/>
    <col min="14594" max="14594" width="55.28515625" style="3" customWidth="1"/>
    <col min="14595" max="14595" width="13.85546875" style="3" customWidth="1"/>
    <col min="14596" max="14596" width="15.7109375" style="3" customWidth="1"/>
    <col min="14597" max="14597" width="14" style="3" customWidth="1"/>
    <col min="14598" max="14598" width="13.85546875" style="3" customWidth="1"/>
    <col min="14599" max="14599" width="0" style="3" hidden="1" customWidth="1"/>
    <col min="14600" max="14601" width="9.140625" style="3"/>
    <col min="14602" max="14602" width="9" style="3" customWidth="1"/>
    <col min="14603" max="14603" width="9.140625" style="3"/>
    <col min="14604" max="14604" width="11.28515625" style="3" customWidth="1"/>
    <col min="14605" max="14605" width="9.140625" style="3"/>
    <col min="14606" max="14606" width="12.28515625" style="3" customWidth="1"/>
    <col min="14607" max="14610" width="9.140625" style="3"/>
    <col min="14611" max="14611" width="11.85546875" style="3" customWidth="1"/>
    <col min="14612" max="14612" width="19.85546875" style="3" customWidth="1"/>
    <col min="14613" max="14628" width="0" style="3" hidden="1" customWidth="1"/>
    <col min="14629" max="14848" width="9.140625" style="3"/>
    <col min="14849" max="14849" width="2.7109375" style="3" customWidth="1"/>
    <col min="14850" max="14850" width="55.28515625" style="3" customWidth="1"/>
    <col min="14851" max="14851" width="13.85546875" style="3" customWidth="1"/>
    <col min="14852" max="14852" width="15.7109375" style="3" customWidth="1"/>
    <col min="14853" max="14853" width="14" style="3" customWidth="1"/>
    <col min="14854" max="14854" width="13.85546875" style="3" customWidth="1"/>
    <col min="14855" max="14855" width="0" style="3" hidden="1" customWidth="1"/>
    <col min="14856" max="14857" width="9.140625" style="3"/>
    <col min="14858" max="14858" width="9" style="3" customWidth="1"/>
    <col min="14859" max="14859" width="9.140625" style="3"/>
    <col min="14860" max="14860" width="11.28515625" style="3" customWidth="1"/>
    <col min="14861" max="14861" width="9.140625" style="3"/>
    <col min="14862" max="14862" width="12.28515625" style="3" customWidth="1"/>
    <col min="14863" max="14866" width="9.140625" style="3"/>
    <col min="14867" max="14867" width="11.85546875" style="3" customWidth="1"/>
    <col min="14868" max="14868" width="19.85546875" style="3" customWidth="1"/>
    <col min="14869" max="14884" width="0" style="3" hidden="1" customWidth="1"/>
    <col min="14885" max="15104" width="9.140625" style="3"/>
    <col min="15105" max="15105" width="2.7109375" style="3" customWidth="1"/>
    <col min="15106" max="15106" width="55.28515625" style="3" customWidth="1"/>
    <col min="15107" max="15107" width="13.85546875" style="3" customWidth="1"/>
    <col min="15108" max="15108" width="15.7109375" style="3" customWidth="1"/>
    <col min="15109" max="15109" width="14" style="3" customWidth="1"/>
    <col min="15110" max="15110" width="13.85546875" style="3" customWidth="1"/>
    <col min="15111" max="15111" width="0" style="3" hidden="1" customWidth="1"/>
    <col min="15112" max="15113" width="9.140625" style="3"/>
    <col min="15114" max="15114" width="9" style="3" customWidth="1"/>
    <col min="15115" max="15115" width="9.140625" style="3"/>
    <col min="15116" max="15116" width="11.28515625" style="3" customWidth="1"/>
    <col min="15117" max="15117" width="9.140625" style="3"/>
    <col min="15118" max="15118" width="12.28515625" style="3" customWidth="1"/>
    <col min="15119" max="15122" width="9.140625" style="3"/>
    <col min="15123" max="15123" width="11.85546875" style="3" customWidth="1"/>
    <col min="15124" max="15124" width="19.85546875" style="3" customWidth="1"/>
    <col min="15125" max="15140" width="0" style="3" hidden="1" customWidth="1"/>
    <col min="15141" max="15360" width="9.140625" style="3"/>
    <col min="15361" max="15361" width="2.7109375" style="3" customWidth="1"/>
    <col min="15362" max="15362" width="55.28515625" style="3" customWidth="1"/>
    <col min="15363" max="15363" width="13.85546875" style="3" customWidth="1"/>
    <col min="15364" max="15364" width="15.7109375" style="3" customWidth="1"/>
    <col min="15365" max="15365" width="14" style="3" customWidth="1"/>
    <col min="15366" max="15366" width="13.85546875" style="3" customWidth="1"/>
    <col min="15367" max="15367" width="0" style="3" hidden="1" customWidth="1"/>
    <col min="15368" max="15369" width="9.140625" style="3"/>
    <col min="15370" max="15370" width="9" style="3" customWidth="1"/>
    <col min="15371" max="15371" width="9.140625" style="3"/>
    <col min="15372" max="15372" width="11.28515625" style="3" customWidth="1"/>
    <col min="15373" max="15373" width="9.140625" style="3"/>
    <col min="15374" max="15374" width="12.28515625" style="3" customWidth="1"/>
    <col min="15375" max="15378" width="9.140625" style="3"/>
    <col min="15379" max="15379" width="11.85546875" style="3" customWidth="1"/>
    <col min="15380" max="15380" width="19.85546875" style="3" customWidth="1"/>
    <col min="15381" max="15396" width="0" style="3" hidden="1" customWidth="1"/>
    <col min="15397" max="15616" width="9.140625" style="3"/>
    <col min="15617" max="15617" width="2.7109375" style="3" customWidth="1"/>
    <col min="15618" max="15618" width="55.28515625" style="3" customWidth="1"/>
    <col min="15619" max="15619" width="13.85546875" style="3" customWidth="1"/>
    <col min="15620" max="15620" width="15.7109375" style="3" customWidth="1"/>
    <col min="15621" max="15621" width="14" style="3" customWidth="1"/>
    <col min="15622" max="15622" width="13.85546875" style="3" customWidth="1"/>
    <col min="15623" max="15623" width="0" style="3" hidden="1" customWidth="1"/>
    <col min="15624" max="15625" width="9.140625" style="3"/>
    <col min="15626" max="15626" width="9" style="3" customWidth="1"/>
    <col min="15627" max="15627" width="9.140625" style="3"/>
    <col min="15628" max="15628" width="11.28515625" style="3" customWidth="1"/>
    <col min="15629" max="15629" width="9.140625" style="3"/>
    <col min="15630" max="15630" width="12.28515625" style="3" customWidth="1"/>
    <col min="15631" max="15634" width="9.140625" style="3"/>
    <col min="15635" max="15635" width="11.85546875" style="3" customWidth="1"/>
    <col min="15636" max="15636" width="19.85546875" style="3" customWidth="1"/>
    <col min="15637" max="15652" width="0" style="3" hidden="1" customWidth="1"/>
    <col min="15653" max="15872" width="9.140625" style="3"/>
    <col min="15873" max="15873" width="2.7109375" style="3" customWidth="1"/>
    <col min="15874" max="15874" width="55.28515625" style="3" customWidth="1"/>
    <col min="15875" max="15875" width="13.85546875" style="3" customWidth="1"/>
    <col min="15876" max="15876" width="15.7109375" style="3" customWidth="1"/>
    <col min="15877" max="15877" width="14" style="3" customWidth="1"/>
    <col min="15878" max="15878" width="13.85546875" style="3" customWidth="1"/>
    <col min="15879" max="15879" width="0" style="3" hidden="1" customWidth="1"/>
    <col min="15880" max="15881" width="9.140625" style="3"/>
    <col min="15882" max="15882" width="9" style="3" customWidth="1"/>
    <col min="15883" max="15883" width="9.140625" style="3"/>
    <col min="15884" max="15884" width="11.28515625" style="3" customWidth="1"/>
    <col min="15885" max="15885" width="9.140625" style="3"/>
    <col min="15886" max="15886" width="12.28515625" style="3" customWidth="1"/>
    <col min="15887" max="15890" width="9.140625" style="3"/>
    <col min="15891" max="15891" width="11.85546875" style="3" customWidth="1"/>
    <col min="15892" max="15892" width="19.85546875" style="3" customWidth="1"/>
    <col min="15893" max="15908" width="0" style="3" hidden="1" customWidth="1"/>
    <col min="15909" max="16128" width="9.140625" style="3"/>
    <col min="16129" max="16129" width="2.7109375" style="3" customWidth="1"/>
    <col min="16130" max="16130" width="55.28515625" style="3" customWidth="1"/>
    <col min="16131" max="16131" width="13.85546875" style="3" customWidth="1"/>
    <col min="16132" max="16132" width="15.7109375" style="3" customWidth="1"/>
    <col min="16133" max="16133" width="14" style="3" customWidth="1"/>
    <col min="16134" max="16134" width="13.85546875" style="3" customWidth="1"/>
    <col min="16135" max="16135" width="0" style="3" hidden="1" customWidth="1"/>
    <col min="16136" max="16137" width="9.140625" style="3"/>
    <col min="16138" max="16138" width="9" style="3" customWidth="1"/>
    <col min="16139" max="16139" width="9.140625" style="3"/>
    <col min="16140" max="16140" width="11.28515625" style="3" customWidth="1"/>
    <col min="16141" max="16141" width="9.140625" style="3"/>
    <col min="16142" max="16142" width="12.28515625" style="3" customWidth="1"/>
    <col min="16143" max="16146" width="9.140625" style="3"/>
    <col min="16147" max="16147" width="11.85546875" style="3" customWidth="1"/>
    <col min="16148" max="16148" width="19.85546875" style="3" customWidth="1"/>
    <col min="16149" max="16164" width="0" style="3" hidden="1" customWidth="1"/>
    <col min="16165" max="16384" width="9.140625" style="3"/>
  </cols>
  <sheetData>
    <row r="1" spans="2:36" x14ac:dyDescent="0.2">
      <c r="B1" s="218" t="s">
        <v>138</v>
      </c>
      <c r="G1" s="157" t="s">
        <v>139</v>
      </c>
    </row>
    <row r="2" spans="2:36" ht="18" x14ac:dyDescent="0.25">
      <c r="B2" s="155" t="s">
        <v>127</v>
      </c>
      <c r="C2" s="156"/>
      <c r="D2" s="156"/>
      <c r="E2" s="156"/>
      <c r="F2" s="156"/>
      <c r="H2" s="156"/>
      <c r="I2" s="156"/>
      <c r="J2" s="155" t="s">
        <v>128</v>
      </c>
      <c r="K2" s="156"/>
      <c r="L2" s="156"/>
      <c r="M2" s="156"/>
      <c r="N2" s="156"/>
      <c r="O2" s="156"/>
      <c r="P2" s="156"/>
      <c r="Q2" s="156"/>
      <c r="R2" s="156"/>
      <c r="S2" s="156"/>
      <c r="T2" s="156"/>
    </row>
    <row r="3" spans="2:36" ht="15" x14ac:dyDescent="0.25">
      <c r="B3" s="158"/>
      <c r="C3" s="156"/>
      <c r="D3" s="156"/>
      <c r="E3" s="156"/>
      <c r="F3" s="156"/>
      <c r="H3" s="156"/>
      <c r="I3" s="156"/>
      <c r="J3" s="156"/>
      <c r="K3" s="156"/>
      <c r="L3" s="156"/>
      <c r="M3" s="156"/>
      <c r="N3" s="156"/>
      <c r="O3" s="156"/>
      <c r="P3" s="156"/>
      <c r="Q3" s="156"/>
      <c r="R3" s="156"/>
      <c r="S3" s="156"/>
      <c r="T3" s="156"/>
    </row>
    <row r="4" spans="2:36" ht="63" customHeight="1" x14ac:dyDescent="0.25">
      <c r="B4" s="366" t="s">
        <v>129</v>
      </c>
      <c r="C4" s="366"/>
      <c r="D4" s="366"/>
      <c r="E4" s="367"/>
      <c r="F4" s="367"/>
      <c r="G4" s="159"/>
      <c r="H4" s="156"/>
      <c r="I4" s="156"/>
      <c r="J4" s="368" t="s">
        <v>130</v>
      </c>
      <c r="K4" s="368"/>
      <c r="L4" s="368"/>
      <c r="M4" s="368"/>
      <c r="N4" s="368"/>
      <c r="O4" s="368"/>
      <c r="P4" s="368"/>
      <c r="Q4" s="368"/>
      <c r="R4" s="368"/>
      <c r="S4" s="368"/>
      <c r="T4" s="368"/>
    </row>
    <row r="5" spans="2:36" ht="15.75" thickBot="1" x14ac:dyDescent="0.25">
      <c r="B5" s="156"/>
      <c r="C5" s="156"/>
      <c r="D5" s="156"/>
      <c r="E5" s="156"/>
      <c r="F5" s="156"/>
      <c r="H5" s="156"/>
      <c r="I5" s="156"/>
      <c r="J5" s="160"/>
      <c r="K5" s="160"/>
      <c r="L5" s="160"/>
      <c r="M5" s="160"/>
      <c r="N5" s="160"/>
      <c r="O5" s="160"/>
      <c r="P5" s="160"/>
      <c r="Q5" s="160"/>
      <c r="R5" s="161"/>
      <c r="S5" s="160"/>
      <c r="T5" s="160"/>
    </row>
    <row r="6" spans="2:36" ht="15.75" thickTop="1" thickBot="1" x14ac:dyDescent="0.25">
      <c r="B6" s="162"/>
      <c r="C6" s="156"/>
      <c r="D6" s="156"/>
      <c r="E6" s="156"/>
      <c r="F6" s="156"/>
      <c r="H6" s="156"/>
      <c r="I6" s="156"/>
      <c r="J6" s="163" t="s">
        <v>131</v>
      </c>
      <c r="K6" s="164" t="s">
        <v>132</v>
      </c>
      <c r="L6" s="165" t="s">
        <v>133</v>
      </c>
      <c r="M6" s="160"/>
      <c r="N6" s="160"/>
      <c r="O6" s="160"/>
      <c r="P6" s="160"/>
      <c r="Q6" s="160"/>
      <c r="R6" s="166"/>
      <c r="S6" s="160"/>
      <c r="T6" s="160"/>
    </row>
    <row r="7" spans="2:36" s="143" customFormat="1" ht="30.75" thickTop="1" x14ac:dyDescent="0.2">
      <c r="B7" s="167" t="s">
        <v>134</v>
      </c>
      <c r="C7" s="168" t="s">
        <v>135</v>
      </c>
      <c r="D7" s="346" t="s">
        <v>353</v>
      </c>
      <c r="E7" s="169" t="s">
        <v>136</v>
      </c>
      <c r="F7" s="168" t="s">
        <v>137</v>
      </c>
      <c r="G7" s="170"/>
      <c r="H7" s="171"/>
      <c r="I7" s="171"/>
      <c r="J7" s="166"/>
      <c r="K7" s="166"/>
      <c r="L7" s="161"/>
      <c r="M7" s="166"/>
      <c r="N7" s="166"/>
      <c r="O7" s="172"/>
      <c r="P7" s="172"/>
      <c r="Q7" s="172"/>
      <c r="R7" s="172"/>
      <c r="S7" s="172"/>
      <c r="T7" s="166"/>
      <c r="U7" s="219"/>
      <c r="V7" s="219"/>
      <c r="W7" s="219"/>
      <c r="X7" s="219"/>
      <c r="Y7" s="219"/>
      <c r="Z7" s="219"/>
      <c r="AA7" s="219"/>
      <c r="AB7" s="219"/>
      <c r="AC7" s="219"/>
      <c r="AD7" s="219"/>
      <c r="AE7" s="219"/>
      <c r="AF7" s="219"/>
      <c r="AG7" s="219"/>
      <c r="AH7" s="219"/>
      <c r="AI7" s="219"/>
      <c r="AJ7" s="219"/>
    </row>
    <row r="8" spans="2:36" x14ac:dyDescent="0.2">
      <c r="B8" s="369"/>
      <c r="C8" s="372"/>
      <c r="D8" s="375"/>
      <c r="E8" s="378"/>
      <c r="F8" s="375"/>
      <c r="G8" s="173"/>
      <c r="H8" s="174"/>
      <c r="I8" s="175"/>
      <c r="J8" s="176"/>
      <c r="K8" s="176"/>
      <c r="L8" s="175"/>
      <c r="M8" s="177"/>
      <c r="N8" s="177"/>
      <c r="O8" s="178"/>
      <c r="P8" s="179"/>
      <c r="Q8" s="179"/>
      <c r="R8" s="180"/>
      <c r="S8" s="178"/>
      <c r="T8" s="177"/>
      <c r="X8" s="174"/>
      <c r="Y8" s="175"/>
      <c r="Z8" s="176"/>
      <c r="AA8" s="176"/>
      <c r="AB8" s="175"/>
      <c r="AC8" s="177"/>
      <c r="AD8" s="177"/>
      <c r="AE8" s="175"/>
      <c r="AF8" s="175"/>
      <c r="AG8" s="176"/>
      <c r="AH8" s="176"/>
      <c r="AI8" s="175"/>
      <c r="AJ8" s="177"/>
    </row>
    <row r="9" spans="2:36" x14ac:dyDescent="0.2">
      <c r="B9" s="370"/>
      <c r="C9" s="373"/>
      <c r="D9" s="376"/>
      <c r="E9" s="379"/>
      <c r="F9" s="376"/>
      <c r="G9" s="173"/>
      <c r="H9" s="181"/>
      <c r="I9" s="182"/>
      <c r="J9" s="183"/>
      <c r="K9" s="183"/>
      <c r="L9" s="183"/>
      <c r="M9" s="183"/>
      <c r="N9" s="220"/>
      <c r="O9" s="185"/>
      <c r="P9" s="185"/>
      <c r="Q9" s="178"/>
      <c r="R9" s="179"/>
      <c r="S9" s="178"/>
      <c r="T9" s="185"/>
      <c r="X9" s="181"/>
      <c r="Y9" s="182"/>
      <c r="Z9" s="183"/>
      <c r="AA9" s="183"/>
      <c r="AB9" s="183"/>
      <c r="AC9" s="183"/>
      <c r="AD9" s="220"/>
      <c r="AE9" s="182"/>
      <c r="AF9" s="182"/>
      <c r="AG9" s="183"/>
      <c r="AH9" s="183"/>
      <c r="AI9" s="183"/>
      <c r="AJ9" s="183"/>
    </row>
    <row r="10" spans="2:36" x14ac:dyDescent="0.2">
      <c r="B10" s="371"/>
      <c r="C10" s="374"/>
      <c r="D10" s="377"/>
      <c r="E10" s="380"/>
      <c r="F10" s="377"/>
      <c r="G10" s="173"/>
      <c r="H10" s="186"/>
      <c r="I10" s="187"/>
      <c r="J10" s="187"/>
      <c r="K10" s="187"/>
      <c r="L10" s="187"/>
      <c r="M10" s="187"/>
      <c r="N10" s="187"/>
      <c r="O10" s="172"/>
      <c r="P10" s="172"/>
      <c r="Q10" s="172"/>
      <c r="R10" s="172"/>
      <c r="S10" s="172"/>
      <c r="T10" s="172"/>
      <c r="X10" s="190"/>
      <c r="Y10" s="187"/>
      <c r="Z10" s="187"/>
      <c r="AA10" s="187"/>
      <c r="AB10" s="187"/>
      <c r="AC10" s="187"/>
      <c r="AD10" s="187"/>
      <c r="AE10" s="172"/>
      <c r="AF10" s="172"/>
      <c r="AG10" s="172"/>
      <c r="AH10" s="172"/>
      <c r="AI10" s="172"/>
      <c r="AJ10" s="172"/>
    </row>
    <row r="11" spans="2:36" x14ac:dyDescent="0.2">
      <c r="B11" s="369" t="s">
        <v>141</v>
      </c>
      <c r="C11" s="372"/>
      <c r="D11" s="382">
        <v>100</v>
      </c>
      <c r="E11" s="382" t="s">
        <v>126</v>
      </c>
      <c r="F11" s="375"/>
      <c r="G11" s="173"/>
      <c r="H11" s="188"/>
      <c r="I11" s="183"/>
      <c r="J11" s="183"/>
      <c r="K11" s="183"/>
      <c r="L11" s="183"/>
      <c r="M11" s="183"/>
      <c r="N11" s="183"/>
      <c r="O11" s="185"/>
      <c r="P11" s="185"/>
      <c r="Q11" s="185"/>
      <c r="R11" s="185"/>
      <c r="S11" s="185"/>
      <c r="T11" s="185"/>
      <c r="X11" s="188"/>
      <c r="Y11" s="183"/>
      <c r="Z11" s="183"/>
      <c r="AA11" s="183"/>
      <c r="AB11" s="183"/>
      <c r="AC11" s="183"/>
      <c r="AD11" s="183"/>
      <c r="AE11" s="185"/>
      <c r="AF11" s="185"/>
      <c r="AG11" s="185"/>
      <c r="AH11" s="185"/>
      <c r="AI11" s="185"/>
      <c r="AJ11" s="185"/>
    </row>
    <row r="12" spans="2:36" x14ac:dyDescent="0.2">
      <c r="B12" s="370"/>
      <c r="C12" s="373"/>
      <c r="D12" s="383"/>
      <c r="E12" s="383"/>
      <c r="F12" s="376"/>
      <c r="G12" s="222">
        <f>IF(OR(E11="-",E11=""),D11,E11)</f>
        <v>100</v>
      </c>
      <c r="H12" s="188"/>
      <c r="I12" s="183"/>
      <c r="J12" s="183"/>
      <c r="K12" s="183"/>
      <c r="L12" s="183"/>
      <c r="M12" s="183"/>
      <c r="N12" s="189">
        <f>D11</f>
        <v>100</v>
      </c>
      <c r="O12" s="185"/>
      <c r="P12" s="185"/>
      <c r="Q12" s="185"/>
      <c r="R12" s="185"/>
      <c r="S12" s="185"/>
      <c r="T12" s="185"/>
      <c r="X12" s="188"/>
      <c r="Y12" s="183"/>
      <c r="Z12" s="183"/>
      <c r="AA12" s="183"/>
      <c r="AB12" s="183"/>
      <c r="AC12" s="183"/>
      <c r="AD12" s="189">
        <f>N12</f>
        <v>100</v>
      </c>
      <c r="AE12" s="185"/>
      <c r="AF12" s="185"/>
      <c r="AG12" s="185"/>
      <c r="AH12" s="185"/>
      <c r="AI12" s="185"/>
      <c r="AJ12" s="185"/>
    </row>
    <row r="13" spans="2:36" x14ac:dyDescent="0.2">
      <c r="B13" s="371"/>
      <c r="C13" s="374"/>
      <c r="D13" s="384"/>
      <c r="E13" s="384"/>
      <c r="F13" s="377"/>
      <c r="G13" s="173"/>
      <c r="H13" s="190"/>
      <c r="I13" s="187"/>
      <c r="J13" s="187"/>
      <c r="K13" s="187"/>
      <c r="L13" s="187"/>
      <c r="M13" s="187"/>
      <c r="N13" s="187"/>
      <c r="O13" s="172"/>
      <c r="P13" s="172"/>
      <c r="Q13" s="172"/>
      <c r="R13" s="172"/>
      <c r="S13" s="172"/>
      <c r="T13" s="172"/>
      <c r="X13" s="190"/>
      <c r="Y13" s="187"/>
      <c r="Z13" s="187"/>
      <c r="AA13" s="187"/>
      <c r="AB13" s="187"/>
      <c r="AC13" s="187"/>
      <c r="AD13" s="187"/>
      <c r="AE13" s="172"/>
      <c r="AF13" s="172"/>
      <c r="AG13" s="172"/>
      <c r="AH13" s="172"/>
      <c r="AI13" s="172"/>
      <c r="AJ13" s="172"/>
    </row>
    <row r="14" spans="2:36" ht="14.25" customHeight="1" x14ac:dyDescent="0.2">
      <c r="B14" s="369" t="s">
        <v>304</v>
      </c>
      <c r="C14" s="381"/>
      <c r="D14" s="382">
        <v>2</v>
      </c>
      <c r="E14" s="382" t="s">
        <v>126</v>
      </c>
      <c r="F14" s="375" t="s">
        <v>126</v>
      </c>
      <c r="G14" s="173"/>
      <c r="H14" s="181"/>
      <c r="I14" s="277"/>
      <c r="J14" s="179"/>
      <c r="K14" s="180"/>
      <c r="L14" s="179"/>
      <c r="M14" s="179"/>
      <c r="N14" s="180"/>
      <c r="O14" s="178"/>
      <c r="P14" s="178"/>
      <c r="Q14" s="179"/>
      <c r="R14" s="180"/>
      <c r="S14" s="178"/>
      <c r="T14" s="185"/>
      <c r="X14" s="181"/>
      <c r="Y14" s="180"/>
      <c r="Z14" s="179"/>
      <c r="AA14" s="180"/>
      <c r="AB14" s="179"/>
      <c r="AC14" s="179"/>
      <c r="AD14" s="180"/>
      <c r="AE14" s="178"/>
      <c r="AF14" s="178"/>
      <c r="AG14" s="179"/>
      <c r="AH14" s="180"/>
      <c r="AI14" s="178"/>
      <c r="AJ14" s="185"/>
    </row>
    <row r="15" spans="2:36" ht="14.25" customHeight="1" x14ac:dyDescent="0.2">
      <c r="B15" s="370"/>
      <c r="C15" s="381"/>
      <c r="D15" s="383"/>
      <c r="E15" s="383"/>
      <c r="F15" s="376"/>
      <c r="G15" s="222">
        <f>IF(OR(E14="-",E14=""),D14,E14)</f>
        <v>2</v>
      </c>
      <c r="H15" s="181"/>
      <c r="I15" s="180"/>
      <c r="J15" s="179"/>
      <c r="K15" s="1"/>
      <c r="L15" s="179"/>
      <c r="M15" s="179"/>
      <c r="N15" s="184">
        <f>N12*D14</f>
        <v>200</v>
      </c>
      <c r="O15" s="178"/>
      <c r="P15" s="178"/>
      <c r="Q15" s="179"/>
      <c r="R15" s="179"/>
      <c r="S15" s="178"/>
      <c r="T15" s="185"/>
      <c r="X15" s="181"/>
      <c r="Y15" s="180"/>
      <c r="Z15" s="179"/>
      <c r="AA15" s="1"/>
      <c r="AB15" s="179"/>
      <c r="AC15" s="179"/>
      <c r="AD15" s="184">
        <f>AD12*G15</f>
        <v>200</v>
      </c>
      <c r="AE15" s="178"/>
      <c r="AF15" s="178"/>
      <c r="AG15" s="179"/>
      <c r="AH15" s="179"/>
      <c r="AI15" s="178"/>
      <c r="AJ15" s="185"/>
    </row>
    <row r="16" spans="2:36" ht="17.25" customHeight="1" x14ac:dyDescent="0.2">
      <c r="B16" s="371"/>
      <c r="C16" s="381"/>
      <c r="D16" s="384"/>
      <c r="E16" s="384"/>
      <c r="F16" s="377"/>
      <c r="G16" s="173"/>
      <c r="H16" s="186"/>
      <c r="I16" s="191"/>
      <c r="J16" s="192"/>
      <c r="K16" s="192"/>
      <c r="L16" s="192"/>
      <c r="M16" s="192"/>
      <c r="N16" s="192"/>
      <c r="O16" s="178"/>
      <c r="P16" s="178"/>
      <c r="Q16" s="178"/>
      <c r="R16" s="178"/>
      <c r="S16" s="178"/>
      <c r="T16" s="172"/>
      <c r="X16" s="186"/>
      <c r="Y16" s="191"/>
      <c r="Z16" s="192"/>
      <c r="AA16" s="192"/>
      <c r="AB16" s="192"/>
      <c r="AC16" s="192"/>
      <c r="AD16" s="192"/>
      <c r="AE16" s="178"/>
      <c r="AF16" s="178"/>
      <c r="AG16" s="178"/>
      <c r="AH16" s="178"/>
      <c r="AI16" s="178"/>
      <c r="AJ16" s="172"/>
    </row>
    <row r="17" spans="2:36" ht="14.25" customHeight="1" x14ac:dyDescent="0.2">
      <c r="B17" s="385" t="s">
        <v>142</v>
      </c>
      <c r="C17" s="381"/>
      <c r="D17" s="388">
        <v>0.1</v>
      </c>
      <c r="E17" s="391" t="s">
        <v>126</v>
      </c>
      <c r="F17" s="394" t="str">
        <f>IF(OR(E17="-",E17=""),"-",E17-D17)</f>
        <v>-</v>
      </c>
      <c r="G17" s="173"/>
      <c r="H17" s="181"/>
      <c r="I17" s="193"/>
      <c r="J17" s="194"/>
      <c r="K17" s="194"/>
      <c r="L17" s="194"/>
      <c r="M17" s="194"/>
      <c r="N17" s="185"/>
      <c r="O17" s="195"/>
      <c r="P17" s="196"/>
      <c r="Q17" s="196"/>
      <c r="R17" s="196"/>
      <c r="S17" s="196"/>
      <c r="T17" s="185"/>
      <c r="X17" s="181"/>
      <c r="Y17" s="193"/>
      <c r="Z17" s="194"/>
      <c r="AA17" s="194"/>
      <c r="AB17" s="194"/>
      <c r="AC17" s="194"/>
      <c r="AD17" s="185"/>
      <c r="AE17" s="195"/>
      <c r="AF17" s="196"/>
      <c r="AG17" s="196"/>
      <c r="AH17" s="196"/>
      <c r="AI17" s="196"/>
      <c r="AJ17" s="185"/>
    </row>
    <row r="18" spans="2:36" ht="14.25" customHeight="1" x14ac:dyDescent="0.2">
      <c r="B18" s="386"/>
      <c r="C18" s="381"/>
      <c r="D18" s="389"/>
      <c r="E18" s="392"/>
      <c r="F18" s="395"/>
      <c r="G18" s="173">
        <f>IF(OR(E17="-",E17=""),D17,E17)</f>
        <v>0.1</v>
      </c>
      <c r="H18" s="181"/>
      <c r="I18" s="193"/>
      <c r="J18" s="194"/>
      <c r="K18" s="197">
        <f>ROUNDDOWN(N12*D17,0)</f>
        <v>10</v>
      </c>
      <c r="L18" s="194"/>
      <c r="M18" s="194"/>
      <c r="N18" s="185"/>
      <c r="O18" s="195"/>
      <c r="P18" s="196"/>
      <c r="Q18" s="196"/>
      <c r="R18" s="196"/>
      <c r="S18" s="196"/>
      <c r="T18" s="185"/>
      <c r="X18" s="181"/>
      <c r="Y18" s="193"/>
      <c r="Z18" s="194"/>
      <c r="AA18" s="197">
        <f>ROUNDDOWN(AD12*G18,0)</f>
        <v>10</v>
      </c>
      <c r="AB18" s="194"/>
      <c r="AC18" s="194"/>
      <c r="AD18" s="185"/>
      <c r="AE18" s="195"/>
      <c r="AF18" s="196"/>
      <c r="AG18" s="196"/>
      <c r="AH18" s="196"/>
      <c r="AI18" s="196"/>
      <c r="AJ18" s="185"/>
    </row>
    <row r="19" spans="2:36" ht="14.25" customHeight="1" x14ac:dyDescent="0.2">
      <c r="B19" s="387"/>
      <c r="C19" s="381"/>
      <c r="D19" s="390"/>
      <c r="E19" s="393"/>
      <c r="F19" s="396"/>
      <c r="G19" s="173"/>
      <c r="H19" s="186"/>
      <c r="I19" s="198"/>
      <c r="J19" s="199"/>
      <c r="K19" s="199"/>
      <c r="L19" s="199"/>
      <c r="M19" s="199"/>
      <c r="N19" s="172"/>
      <c r="O19" s="200"/>
      <c r="P19" s="201"/>
      <c r="Q19" s="201"/>
      <c r="R19" s="201"/>
      <c r="S19" s="201"/>
      <c r="T19" s="172"/>
      <c r="X19" s="181"/>
      <c r="Y19" s="198"/>
      <c r="Z19" s="199"/>
      <c r="AA19" s="199"/>
      <c r="AB19" s="199"/>
      <c r="AC19" s="199"/>
      <c r="AD19" s="172"/>
      <c r="AE19" s="200"/>
      <c r="AF19" s="201"/>
      <c r="AG19" s="201"/>
      <c r="AH19" s="201"/>
      <c r="AI19" s="201"/>
      <c r="AJ19" s="185"/>
    </row>
    <row r="20" spans="2:36" ht="14.25" customHeight="1" x14ac:dyDescent="0.2">
      <c r="B20" s="385" t="s">
        <v>143</v>
      </c>
      <c r="C20" s="381"/>
      <c r="D20" s="375" t="s">
        <v>126</v>
      </c>
      <c r="E20" s="375" t="s">
        <v>126</v>
      </c>
      <c r="F20" s="375" t="str">
        <f>IF(OR(E20="-",E20=""),"-",E20-D20)</f>
        <v>-</v>
      </c>
      <c r="G20" s="173"/>
      <c r="H20" s="181"/>
      <c r="I20" s="193"/>
      <c r="J20" s="194"/>
      <c r="K20" s="194"/>
      <c r="L20" s="194"/>
      <c r="M20" s="194"/>
      <c r="N20" s="185"/>
      <c r="O20" s="195"/>
      <c r="P20" s="196"/>
      <c r="Q20" s="196"/>
      <c r="R20" s="196"/>
      <c r="S20" s="196"/>
      <c r="T20" s="185"/>
      <c r="X20" s="181"/>
      <c r="Y20" s="193"/>
      <c r="Z20" s="194"/>
      <c r="AA20" s="194"/>
      <c r="AB20" s="194"/>
      <c r="AC20" s="194"/>
      <c r="AD20" s="185"/>
      <c r="AE20" s="195"/>
      <c r="AF20" s="196"/>
      <c r="AG20" s="196"/>
      <c r="AH20" s="196"/>
      <c r="AI20" s="196"/>
      <c r="AJ20" s="185"/>
    </row>
    <row r="21" spans="2:36" ht="14.25" customHeight="1" x14ac:dyDescent="0.2">
      <c r="B21" s="386"/>
      <c r="C21" s="381"/>
      <c r="D21" s="376"/>
      <c r="E21" s="376"/>
      <c r="F21" s="376"/>
      <c r="G21" s="173" t="str">
        <f>IF(OR(E20="-",E20=""),D20,E20)</f>
        <v>-</v>
      </c>
      <c r="H21" s="181"/>
      <c r="I21" s="193"/>
      <c r="J21" s="194"/>
      <c r="K21" s="194"/>
      <c r="L21" s="197">
        <f>N12-K18</f>
        <v>90</v>
      </c>
      <c r="M21" s="194"/>
      <c r="N21" s="185"/>
      <c r="O21" s="195"/>
      <c r="P21" s="196"/>
      <c r="Q21" s="196"/>
      <c r="R21" s="196"/>
      <c r="S21" s="196"/>
      <c r="T21" s="185"/>
      <c r="X21" s="181"/>
      <c r="Y21" s="193"/>
      <c r="Z21" s="194"/>
      <c r="AA21" s="194"/>
      <c r="AB21" s="197">
        <f>AD12-AA18</f>
        <v>90</v>
      </c>
      <c r="AC21" s="194"/>
      <c r="AD21" s="185"/>
      <c r="AE21" s="195"/>
      <c r="AF21" s="196"/>
      <c r="AG21" s="196"/>
      <c r="AH21" s="196"/>
      <c r="AI21" s="196"/>
      <c r="AJ21" s="185"/>
    </row>
    <row r="22" spans="2:36" ht="14.25" customHeight="1" x14ac:dyDescent="0.2">
      <c r="B22" s="387"/>
      <c r="C22" s="381"/>
      <c r="D22" s="377"/>
      <c r="E22" s="377"/>
      <c r="F22" s="377"/>
      <c r="G22" s="173"/>
      <c r="H22" s="186"/>
      <c r="I22" s="198"/>
      <c r="J22" s="199"/>
      <c r="K22" s="199"/>
      <c r="L22" s="199"/>
      <c r="M22" s="199"/>
      <c r="N22" s="172"/>
      <c r="O22" s="200"/>
      <c r="P22" s="201"/>
      <c r="Q22" s="201"/>
      <c r="R22" s="201"/>
      <c r="S22" s="201"/>
      <c r="T22" s="172"/>
      <c r="X22" s="181"/>
      <c r="Y22" s="193"/>
      <c r="Z22" s="194"/>
      <c r="AA22" s="194"/>
      <c r="AB22" s="194"/>
      <c r="AC22" s="194"/>
      <c r="AD22" s="185"/>
      <c r="AE22" s="195"/>
      <c r="AF22" s="196"/>
      <c r="AG22" s="196"/>
      <c r="AH22" s="196"/>
      <c r="AI22" s="196"/>
      <c r="AJ22" s="185"/>
    </row>
    <row r="23" spans="2:36" ht="14.25" customHeight="1" x14ac:dyDescent="0.2">
      <c r="B23" s="398" t="s">
        <v>144</v>
      </c>
      <c r="C23" s="401">
        <v>0.45</v>
      </c>
      <c r="D23" s="388">
        <f>D17*C23</f>
        <v>4.5000000000000005E-2</v>
      </c>
      <c r="E23" s="403" t="str">
        <f>IF(OR(E17="",E17="-"),"-",E17*C23)</f>
        <v>-</v>
      </c>
      <c r="F23" s="388" t="str">
        <f>IF(OR(E23="-",E23=""),"-",E23-D23)</f>
        <v>-</v>
      </c>
      <c r="G23" s="173"/>
      <c r="H23" s="181"/>
      <c r="I23" s="193"/>
      <c r="J23" s="202"/>
      <c r="K23" s="193"/>
      <c r="L23" s="202"/>
      <c r="M23" s="202"/>
      <c r="N23" s="179"/>
      <c r="O23" s="195"/>
      <c r="P23" s="203"/>
      <c r="Q23" s="195"/>
      <c r="R23" s="203"/>
      <c r="S23" s="203"/>
      <c r="T23" s="178"/>
      <c r="X23" s="181"/>
      <c r="Y23" s="193"/>
      <c r="Z23" s="202"/>
      <c r="AA23" s="193"/>
      <c r="AB23" s="202"/>
      <c r="AC23" s="202"/>
      <c r="AD23" s="179"/>
      <c r="AE23" s="195"/>
      <c r="AF23" s="203"/>
      <c r="AG23" s="195"/>
      <c r="AH23" s="203"/>
      <c r="AI23" s="203"/>
      <c r="AJ23" s="178"/>
    </row>
    <row r="24" spans="2:36" ht="14.25" customHeight="1" x14ac:dyDescent="0.2">
      <c r="B24" s="399"/>
      <c r="C24" s="402"/>
      <c r="D24" s="389"/>
      <c r="E24" s="404"/>
      <c r="F24" s="389"/>
      <c r="G24" s="173">
        <f>IF(OR(E23="-",E23=""),D23,E23)</f>
        <v>4.5000000000000005E-2</v>
      </c>
      <c r="H24" s="181"/>
      <c r="I24" s="193"/>
      <c r="J24" s="202"/>
      <c r="K24" s="204"/>
      <c r="L24" s="205"/>
      <c r="M24" s="202"/>
      <c r="N24" s="179"/>
      <c r="O24" s="195"/>
      <c r="P24" s="203"/>
      <c r="Q24" s="206">
        <f>ROUNDDOWN(N12*D23,0)</f>
        <v>4</v>
      </c>
      <c r="R24" s="207"/>
      <c r="S24" s="203"/>
      <c r="T24" s="178"/>
      <c r="X24" s="181"/>
      <c r="Y24" s="193"/>
      <c r="Z24" s="202"/>
      <c r="AA24" s="204"/>
      <c r="AB24" s="205"/>
      <c r="AC24" s="202"/>
      <c r="AD24" s="179"/>
      <c r="AE24" s="195"/>
      <c r="AF24" s="203"/>
      <c r="AG24" s="206">
        <f>ROUNDDOWN(AD12*G24,0)</f>
        <v>4</v>
      </c>
      <c r="AH24" s="207"/>
      <c r="AI24" s="203"/>
      <c r="AJ24" s="178"/>
    </row>
    <row r="25" spans="2:36" ht="14.25" customHeight="1" x14ac:dyDescent="0.2">
      <c r="B25" s="400"/>
      <c r="C25" s="402"/>
      <c r="D25" s="390"/>
      <c r="E25" s="405"/>
      <c r="F25" s="390"/>
      <c r="G25" s="173"/>
      <c r="H25" s="186"/>
      <c r="I25" s="198"/>
      <c r="J25" s="199"/>
      <c r="K25" s="199"/>
      <c r="L25" s="199"/>
      <c r="M25" s="199"/>
      <c r="N25" s="172"/>
      <c r="O25" s="200"/>
      <c r="P25" s="201"/>
      <c r="Q25" s="201"/>
      <c r="R25" s="201"/>
      <c r="S25" s="201"/>
      <c r="T25" s="172"/>
      <c r="X25" s="186"/>
      <c r="Y25" s="198"/>
      <c r="Z25" s="199"/>
      <c r="AA25" s="199"/>
      <c r="AB25" s="199"/>
      <c r="AC25" s="199"/>
      <c r="AD25" s="172"/>
      <c r="AE25" s="200"/>
      <c r="AF25" s="201"/>
      <c r="AG25" s="201"/>
      <c r="AH25" s="201"/>
      <c r="AI25" s="201"/>
      <c r="AJ25" s="172"/>
    </row>
    <row r="26" spans="2:36" ht="14.25" customHeight="1" x14ac:dyDescent="0.2">
      <c r="B26" s="406" t="s">
        <v>145</v>
      </c>
      <c r="C26" s="381"/>
      <c r="D26" s="375" t="s">
        <v>126</v>
      </c>
      <c r="E26" s="375" t="s">
        <v>126</v>
      </c>
      <c r="F26" s="375" t="str">
        <f>IF(OR(E26="-",E26=""),"-",E26-D26)</f>
        <v>-</v>
      </c>
      <c r="G26" s="173"/>
      <c r="H26" s="181"/>
      <c r="I26" s="193"/>
      <c r="J26" s="194"/>
      <c r="K26" s="194"/>
      <c r="L26" s="194"/>
      <c r="M26" s="194"/>
      <c r="N26" s="185"/>
      <c r="O26" s="195"/>
      <c r="P26" s="196"/>
      <c r="Q26" s="196"/>
      <c r="R26" s="196"/>
      <c r="S26" s="196"/>
      <c r="T26" s="185"/>
      <c r="X26" s="181"/>
      <c r="Y26" s="193"/>
      <c r="Z26" s="194"/>
      <c r="AA26" s="194"/>
      <c r="AB26" s="194"/>
      <c r="AC26" s="194"/>
      <c r="AD26" s="185"/>
      <c r="AE26" s="195"/>
      <c r="AF26" s="196"/>
      <c r="AG26" s="196"/>
      <c r="AH26" s="196"/>
      <c r="AI26" s="196"/>
      <c r="AJ26" s="185"/>
    </row>
    <row r="27" spans="2:36" ht="14.25" customHeight="1" x14ac:dyDescent="0.2">
      <c r="B27" s="407"/>
      <c r="C27" s="381"/>
      <c r="D27" s="376"/>
      <c r="E27" s="376"/>
      <c r="F27" s="376"/>
      <c r="G27" s="173" t="str">
        <f>IF(OR(E26="-",E26=""),D26,E26)</f>
        <v>-</v>
      </c>
      <c r="H27" s="181"/>
      <c r="I27" s="193"/>
      <c r="J27" s="194"/>
      <c r="K27" s="194"/>
      <c r="L27" s="194"/>
      <c r="M27" s="194"/>
      <c r="N27" s="185"/>
      <c r="O27" s="195"/>
      <c r="P27" s="206">
        <f>N12-Q24</f>
        <v>96</v>
      </c>
      <c r="Q27" s="196"/>
      <c r="R27" s="196"/>
      <c r="S27" s="196"/>
      <c r="T27" s="185"/>
      <c r="X27" s="181"/>
      <c r="Y27" s="193"/>
      <c r="Z27" s="194"/>
      <c r="AA27" s="194"/>
      <c r="AB27" s="194"/>
      <c r="AC27" s="194"/>
      <c r="AD27" s="185"/>
      <c r="AE27" s="195"/>
      <c r="AF27" s="206">
        <f>AD12-AG24</f>
        <v>96</v>
      </c>
      <c r="AG27" s="196"/>
      <c r="AH27" s="196"/>
      <c r="AI27" s="196"/>
      <c r="AJ27" s="185"/>
    </row>
    <row r="28" spans="2:36" ht="14.25" customHeight="1" x14ac:dyDescent="0.2">
      <c r="B28" s="408"/>
      <c r="C28" s="381"/>
      <c r="D28" s="377"/>
      <c r="E28" s="377"/>
      <c r="F28" s="377"/>
      <c r="G28" s="173"/>
      <c r="H28" s="186"/>
      <c r="I28" s="198"/>
      <c r="J28" s="199"/>
      <c r="K28" s="199"/>
      <c r="L28" s="199"/>
      <c r="M28" s="199"/>
      <c r="N28" s="172"/>
      <c r="O28" s="200"/>
      <c r="P28" s="201"/>
      <c r="Q28" s="201"/>
      <c r="R28" s="201"/>
      <c r="S28" s="201"/>
      <c r="T28" s="172"/>
      <c r="X28" s="181"/>
      <c r="Y28" s="193"/>
      <c r="Z28" s="194"/>
      <c r="AA28" s="194"/>
      <c r="AB28" s="194"/>
      <c r="AC28" s="194"/>
      <c r="AD28" s="185"/>
      <c r="AE28" s="195"/>
      <c r="AF28" s="196"/>
      <c r="AG28" s="196"/>
      <c r="AH28" s="196"/>
      <c r="AI28" s="196"/>
      <c r="AJ28" s="185"/>
    </row>
    <row r="29" spans="2:36" ht="45" customHeight="1" thickBot="1" x14ac:dyDescent="0.3">
      <c r="B29" s="208"/>
      <c r="C29" s="221"/>
      <c r="D29" s="209"/>
      <c r="E29" s="210"/>
      <c r="F29" s="211"/>
      <c r="G29" s="212"/>
      <c r="H29" s="186"/>
      <c r="I29" s="198"/>
      <c r="J29" s="199"/>
      <c r="K29" s="199"/>
      <c r="L29" s="199"/>
      <c r="M29" s="199"/>
      <c r="N29" s="172"/>
      <c r="O29" s="200"/>
      <c r="P29" s="201"/>
      <c r="Q29" s="201"/>
      <c r="R29" s="201"/>
      <c r="S29" s="201"/>
      <c r="T29" s="172"/>
      <c r="X29" s="186"/>
      <c r="Y29" s="198"/>
      <c r="Z29" s="199"/>
      <c r="AA29" s="199"/>
      <c r="AB29" s="199"/>
      <c r="AC29" s="199"/>
      <c r="AD29" s="172"/>
      <c r="AE29" s="200"/>
      <c r="AF29" s="201"/>
      <c r="AG29" s="201"/>
      <c r="AH29" s="201"/>
      <c r="AI29" s="201"/>
      <c r="AJ29" s="172"/>
    </row>
    <row r="30" spans="2:36" ht="30" customHeight="1" thickTop="1" thickBot="1" x14ac:dyDescent="0.3">
      <c r="B30" s="208" t="s">
        <v>226</v>
      </c>
      <c r="C30" s="221"/>
      <c r="D30" s="213">
        <f>'Unit costs'!D17</f>
        <v>65997.466182524091</v>
      </c>
      <c r="E30" s="214" t="s">
        <v>126</v>
      </c>
      <c r="F30" s="215" t="str">
        <f t="shared" ref="F30:F34" si="0">IF(OR(E30="-",E30=""),"-",E30-D30)</f>
        <v>-</v>
      </c>
      <c r="G30" s="216">
        <f t="shared" ref="G30:G34" si="1">IF(OR(E30="-",E30=""),D30,E30)</f>
        <v>65997.466182524091</v>
      </c>
      <c r="H30" s="186"/>
      <c r="I30" s="198"/>
      <c r="J30" s="199"/>
      <c r="K30" s="199"/>
      <c r="L30" s="199"/>
      <c r="M30" s="199"/>
      <c r="N30" s="172"/>
      <c r="O30" s="200"/>
      <c r="P30" s="201"/>
      <c r="Q30" s="201"/>
      <c r="R30" s="201"/>
      <c r="S30" s="201"/>
      <c r="T30" s="172"/>
      <c r="X30" s="186"/>
      <c r="Y30" s="198"/>
      <c r="Z30" s="199"/>
      <c r="AA30" s="199"/>
      <c r="AB30" s="199"/>
      <c r="AC30" s="199"/>
      <c r="AD30" s="172"/>
      <c r="AE30" s="200"/>
      <c r="AF30" s="201"/>
      <c r="AG30" s="201"/>
      <c r="AH30" s="201"/>
      <c r="AI30" s="201"/>
      <c r="AJ30" s="172"/>
    </row>
    <row r="31" spans="2:36" ht="30" customHeight="1" thickTop="1" thickBot="1" x14ac:dyDescent="0.3">
      <c r="B31" s="208" t="s">
        <v>227</v>
      </c>
      <c r="C31" s="221"/>
      <c r="D31" s="217">
        <f>'Unit costs'!D18</f>
        <v>5789.1793499999994</v>
      </c>
      <c r="E31" s="214"/>
      <c r="F31" s="215" t="str">
        <f t="shared" si="0"/>
        <v>-</v>
      </c>
      <c r="G31" s="216">
        <f t="shared" si="1"/>
        <v>5789.1793499999994</v>
      </c>
      <c r="H31" s="186"/>
      <c r="I31" s="198"/>
      <c r="J31" s="199"/>
      <c r="K31" s="199"/>
      <c r="L31" s="199"/>
      <c r="M31" s="199"/>
      <c r="N31" s="172"/>
      <c r="O31" s="200"/>
      <c r="P31" s="201"/>
      <c r="Q31" s="201"/>
      <c r="R31" s="201"/>
      <c r="S31" s="201"/>
      <c r="T31" s="172"/>
      <c r="X31" s="186"/>
      <c r="Y31" s="198"/>
      <c r="Z31" s="199"/>
      <c r="AA31" s="199"/>
      <c r="AB31" s="199"/>
      <c r="AC31" s="199"/>
      <c r="AD31" s="172"/>
      <c r="AE31" s="200"/>
      <c r="AF31" s="201"/>
      <c r="AG31" s="201"/>
      <c r="AH31" s="201"/>
      <c r="AI31" s="201"/>
      <c r="AJ31" s="172"/>
    </row>
    <row r="32" spans="2:36" ht="30" customHeight="1" thickTop="1" thickBot="1" x14ac:dyDescent="0.3">
      <c r="B32" s="208" t="str">
        <f>'Unit costs'!C22</f>
        <v>Staff time (band 5 nurse) ( 2 tests)</v>
      </c>
      <c r="C32" s="221"/>
      <c r="D32" s="217">
        <f>'Unit costs'!E22</f>
        <v>45</v>
      </c>
      <c r="E32" s="214"/>
      <c r="F32" s="215" t="str">
        <f t="shared" si="0"/>
        <v>-</v>
      </c>
      <c r="G32" s="216">
        <f t="shared" si="1"/>
        <v>45</v>
      </c>
      <c r="H32" s="186"/>
      <c r="I32" s="198"/>
      <c r="J32" s="199"/>
      <c r="K32" s="199"/>
      <c r="L32" s="199"/>
      <c r="M32" s="199"/>
      <c r="N32" s="172"/>
      <c r="O32" s="200"/>
      <c r="P32" s="201"/>
      <c r="Q32" s="201"/>
      <c r="R32" s="201"/>
      <c r="S32" s="201"/>
      <c r="T32" s="172"/>
      <c r="X32" s="186"/>
      <c r="Y32" s="198"/>
      <c r="Z32" s="199"/>
      <c r="AA32" s="199"/>
      <c r="AB32" s="199"/>
      <c r="AC32" s="199"/>
      <c r="AD32" s="172"/>
      <c r="AE32" s="200"/>
      <c r="AF32" s="201"/>
      <c r="AG32" s="201"/>
      <c r="AH32" s="201"/>
      <c r="AI32" s="201"/>
      <c r="AJ32" s="172"/>
    </row>
    <row r="33" spans="2:36" ht="30" customHeight="1" thickTop="1" thickBot="1" x14ac:dyDescent="0.3">
      <c r="B33" s="208" t="str">
        <f>'Unit costs'!C5</f>
        <v>Equipment cost (₤)</v>
      </c>
      <c r="C33" s="221"/>
      <c r="D33" s="217">
        <f>'Unit costs'!H7</f>
        <v>15</v>
      </c>
      <c r="E33" s="214"/>
      <c r="F33" s="215" t="str">
        <f t="shared" si="0"/>
        <v>-</v>
      </c>
      <c r="G33" s="216">
        <f t="shared" si="1"/>
        <v>15</v>
      </c>
      <c r="H33" s="186"/>
      <c r="I33" s="198"/>
      <c r="J33" s="199"/>
      <c r="K33" s="199"/>
      <c r="L33" s="199"/>
      <c r="M33" s="199"/>
      <c r="N33" s="172"/>
      <c r="O33" s="200"/>
      <c r="P33" s="201"/>
      <c r="Q33" s="201"/>
      <c r="R33" s="201"/>
      <c r="S33" s="201"/>
      <c r="T33" s="172"/>
      <c r="X33" s="186"/>
      <c r="Y33" s="198"/>
      <c r="Z33" s="199"/>
      <c r="AA33" s="199"/>
      <c r="AB33" s="199"/>
      <c r="AC33" s="199"/>
      <c r="AD33" s="172"/>
      <c r="AE33" s="200"/>
      <c r="AF33" s="201"/>
      <c r="AG33" s="201"/>
      <c r="AH33" s="201"/>
      <c r="AI33" s="201"/>
      <c r="AJ33" s="172"/>
    </row>
    <row r="34" spans="2:36" ht="30" customHeight="1" thickTop="1" thickBot="1" x14ac:dyDescent="0.3">
      <c r="B34" s="208" t="str">
        <f>'Unit costs'!H10</f>
        <v xml:space="preserve">Cost per procedure </v>
      </c>
      <c r="C34" s="221"/>
      <c r="D34" s="217">
        <f>'Unit costs'!H11</f>
        <v>300</v>
      </c>
      <c r="E34" s="214"/>
      <c r="F34" s="215" t="str">
        <f t="shared" si="0"/>
        <v>-</v>
      </c>
      <c r="G34" s="216">
        <f t="shared" si="1"/>
        <v>300</v>
      </c>
      <c r="H34" s="186"/>
      <c r="I34" s="198"/>
      <c r="J34" s="199"/>
      <c r="K34" s="199"/>
      <c r="L34" s="199"/>
      <c r="M34" s="199"/>
      <c r="N34" s="172"/>
      <c r="O34" s="200"/>
      <c r="P34" s="201"/>
      <c r="Q34" s="201"/>
      <c r="R34" s="201"/>
      <c r="S34" s="201"/>
      <c r="T34" s="172"/>
      <c r="X34" s="186"/>
      <c r="Y34" s="198"/>
      <c r="Z34" s="199"/>
      <c r="AA34" s="199"/>
      <c r="AB34" s="199"/>
      <c r="AC34" s="199"/>
      <c r="AD34" s="172"/>
      <c r="AE34" s="200"/>
      <c r="AF34" s="201"/>
      <c r="AG34" s="201"/>
      <c r="AH34" s="201"/>
      <c r="AI34" s="201"/>
      <c r="AJ34" s="172"/>
    </row>
    <row r="35" spans="2:36" ht="15" thickTop="1" x14ac:dyDescent="0.2">
      <c r="B35" s="397"/>
      <c r="C35" s="397"/>
      <c r="D35" s="397"/>
      <c r="E35" s="397"/>
      <c r="F35" s="397"/>
      <c r="G35" s="397"/>
      <c r="H35" s="397"/>
      <c r="I35" s="397"/>
      <c r="J35" s="397"/>
      <c r="K35" s="397"/>
      <c r="L35" s="397"/>
      <c r="M35" s="397"/>
    </row>
  </sheetData>
  <protectedRanges>
    <protectedRange sqref="E30:E34 E11:E29" name="Range1_1"/>
  </protectedRanges>
  <mergeCells count="38">
    <mergeCell ref="B35:M35"/>
    <mergeCell ref="B23:B25"/>
    <mergeCell ref="C23:C25"/>
    <mergeCell ref="D23:D25"/>
    <mergeCell ref="E23:E25"/>
    <mergeCell ref="F23:F25"/>
    <mergeCell ref="B26:B28"/>
    <mergeCell ref="C26:C28"/>
    <mergeCell ref="D26:D28"/>
    <mergeCell ref="E26:E28"/>
    <mergeCell ref="F26:F28"/>
    <mergeCell ref="B17:B19"/>
    <mergeCell ref="C17:C19"/>
    <mergeCell ref="D17:D19"/>
    <mergeCell ref="E17:E19"/>
    <mergeCell ref="F17:F19"/>
    <mergeCell ref="B20:B22"/>
    <mergeCell ref="C20:C22"/>
    <mergeCell ref="D20:D22"/>
    <mergeCell ref="E20:E22"/>
    <mergeCell ref="F20:F22"/>
    <mergeCell ref="B11:B13"/>
    <mergeCell ref="C11:C13"/>
    <mergeCell ref="D11:D13"/>
    <mergeCell ref="E11:E13"/>
    <mergeCell ref="F11:F13"/>
    <mergeCell ref="B14:B16"/>
    <mergeCell ref="C14:C16"/>
    <mergeCell ref="D14:D16"/>
    <mergeCell ref="E14:E16"/>
    <mergeCell ref="F14:F16"/>
    <mergeCell ref="B4:F4"/>
    <mergeCell ref="J4:T4"/>
    <mergeCell ref="B8:B10"/>
    <mergeCell ref="C8:C10"/>
    <mergeCell ref="D8:D10"/>
    <mergeCell ref="E8:E10"/>
    <mergeCell ref="F8:F10"/>
  </mergeCells>
  <hyperlinks>
    <hyperlink ref="B1" location="'2. Guide'!A1" display="Back to guide"/>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69"/>
  <sheetViews>
    <sheetView topLeftCell="A19" zoomScale="85" zoomScaleNormal="85" workbookViewId="0">
      <selection activeCell="L50" sqref="L50"/>
    </sheetView>
  </sheetViews>
  <sheetFormatPr defaultRowHeight="15" x14ac:dyDescent="0.25"/>
  <cols>
    <col min="2" max="2" width="26.28515625" bestFit="1" customWidth="1"/>
    <col min="3" max="3" width="55.28515625" bestFit="1" customWidth="1"/>
    <col min="4" max="4" width="13.42578125" bestFit="1" customWidth="1"/>
    <col min="5" max="5" width="16.140625" bestFit="1" customWidth="1"/>
    <col min="6" max="6" width="14.28515625" bestFit="1" customWidth="1"/>
    <col min="7" max="7" width="13.140625" bestFit="1" customWidth="1"/>
    <col min="8" max="8" width="16.140625" bestFit="1" customWidth="1"/>
    <col min="9" max="9" width="15.42578125" bestFit="1" customWidth="1"/>
    <col min="12" max="12" width="40.7109375" bestFit="1" customWidth="1"/>
    <col min="13" max="13" width="10.85546875" bestFit="1" customWidth="1"/>
    <col min="14" max="14" width="31.85546875" customWidth="1"/>
    <col min="15" max="15" width="28.7109375" customWidth="1"/>
    <col min="17" max="17" width="36.140625" customWidth="1"/>
    <col min="18" max="18" width="11.5703125" bestFit="1" customWidth="1"/>
    <col min="19" max="19" width="33.5703125" customWidth="1"/>
    <col min="20" max="20" width="34.28515625" customWidth="1"/>
  </cols>
  <sheetData>
    <row r="1" spans="2:20" ht="15.75" x14ac:dyDescent="0.25">
      <c r="B1" s="44"/>
      <c r="C1" s="45"/>
      <c r="D1" s="46"/>
      <c r="E1" s="47"/>
      <c r="F1" s="43"/>
      <c r="G1" s="40"/>
      <c r="H1" s="40"/>
      <c r="I1" s="40"/>
    </row>
    <row r="2" spans="2:20" ht="15.75" x14ac:dyDescent="0.25">
      <c r="B2" s="40"/>
      <c r="C2" s="45"/>
      <c r="D2" s="48"/>
      <c r="E2" s="42"/>
      <c r="F2" s="43"/>
      <c r="G2" s="40"/>
      <c r="H2" s="40"/>
      <c r="I2" s="40"/>
    </row>
    <row r="3" spans="2:20" ht="20.25" x14ac:dyDescent="0.3">
      <c r="B3" s="49" t="s">
        <v>23</v>
      </c>
      <c r="C3" s="50"/>
      <c r="D3" s="48"/>
      <c r="E3" s="42"/>
      <c r="F3" s="43"/>
      <c r="G3" s="40"/>
      <c r="H3" s="40"/>
      <c r="I3" s="40"/>
    </row>
    <row r="4" spans="2:20" ht="15.75" x14ac:dyDescent="0.25">
      <c r="B4" s="40"/>
      <c r="C4" s="40"/>
      <c r="D4" s="41"/>
      <c r="E4" s="42"/>
      <c r="F4" s="43"/>
      <c r="G4" s="40"/>
      <c r="H4" s="40"/>
      <c r="I4" s="40"/>
    </row>
    <row r="5" spans="2:20" ht="15.75" x14ac:dyDescent="0.25">
      <c r="B5" s="40"/>
      <c r="C5" s="40"/>
      <c r="D5" s="51"/>
      <c r="E5" s="52"/>
      <c r="F5" s="53"/>
      <c r="G5" s="40"/>
      <c r="H5" s="40"/>
      <c r="I5" s="40"/>
    </row>
    <row r="6" spans="2:20" ht="34.5" customHeight="1" x14ac:dyDescent="0.25">
      <c r="B6" s="54"/>
      <c r="C6" s="55"/>
      <c r="D6" s="410" t="s">
        <v>243</v>
      </c>
      <c r="E6" s="411"/>
      <c r="F6" s="412"/>
      <c r="G6" s="410" t="s">
        <v>24</v>
      </c>
      <c r="H6" s="411"/>
      <c r="I6" s="412"/>
    </row>
    <row r="7" spans="2:20" x14ac:dyDescent="0.25">
      <c r="B7" s="56"/>
      <c r="C7" s="57"/>
      <c r="D7" s="413"/>
      <c r="E7" s="414"/>
      <c r="F7" s="415"/>
      <c r="G7" s="413"/>
      <c r="H7" s="414"/>
      <c r="I7" s="415"/>
      <c r="Q7" s="332"/>
      <c r="R7" s="332"/>
      <c r="S7" s="332"/>
    </row>
    <row r="8" spans="2:20" x14ac:dyDescent="0.25">
      <c r="B8" s="58" t="s">
        <v>25</v>
      </c>
      <c r="C8" s="59"/>
      <c r="D8" s="60" t="s">
        <v>26</v>
      </c>
      <c r="E8" s="61" t="s">
        <v>27</v>
      </c>
      <c r="F8" s="62" t="s">
        <v>224</v>
      </c>
      <c r="G8" s="60" t="s">
        <v>26</v>
      </c>
      <c r="H8" s="61" t="s">
        <v>27</v>
      </c>
      <c r="I8" s="62" t="s">
        <v>224</v>
      </c>
    </row>
    <row r="9" spans="2:20" x14ac:dyDescent="0.25">
      <c r="B9" s="63"/>
      <c r="C9" s="64"/>
      <c r="D9" s="65"/>
      <c r="E9" s="66"/>
      <c r="F9" s="67"/>
      <c r="G9" s="65"/>
      <c r="H9" s="66"/>
      <c r="I9" s="67"/>
    </row>
    <row r="10" spans="2:20" x14ac:dyDescent="0.25">
      <c r="B10" s="63"/>
      <c r="C10" s="68" t="s">
        <v>220</v>
      </c>
      <c r="D10" s="69"/>
      <c r="E10" s="70">
        <f>'Input sheet'!N12</f>
        <v>100</v>
      </c>
      <c r="F10" s="67"/>
      <c r="G10" s="65"/>
      <c r="H10" s="70">
        <f>'Input sheet'!AD12</f>
        <v>100</v>
      </c>
      <c r="I10" s="67"/>
    </row>
    <row r="11" spans="2:20" ht="20.25" x14ac:dyDescent="0.3">
      <c r="B11" s="63"/>
      <c r="C11" s="71" t="s">
        <v>221</v>
      </c>
      <c r="D11" s="72"/>
      <c r="E11" s="73">
        <f>'Input sheet'!K18</f>
        <v>10</v>
      </c>
      <c r="F11" s="67"/>
      <c r="G11" s="65"/>
      <c r="H11" s="73">
        <f>'Input sheet'!AA18</f>
        <v>10</v>
      </c>
      <c r="I11" s="67"/>
      <c r="L11" s="49" t="s">
        <v>419</v>
      </c>
    </row>
    <row r="12" spans="2:20" ht="45" x14ac:dyDescent="0.25">
      <c r="B12" s="58"/>
      <c r="C12" s="74"/>
      <c r="D12" s="60"/>
      <c r="E12" s="61"/>
      <c r="F12" s="62"/>
      <c r="G12" s="60"/>
      <c r="H12" s="61"/>
      <c r="I12" s="62"/>
      <c r="L12" s="300" t="s">
        <v>241</v>
      </c>
      <c r="M12" s="104"/>
      <c r="N12" s="292" t="str">
        <f>D6</f>
        <v>Cost for selected population using  literature based assumptions</v>
      </c>
      <c r="O12" s="292" t="str">
        <f>G6</f>
        <v>Cost for selected population using local assumptions</v>
      </c>
      <c r="Q12" s="300" t="s">
        <v>410</v>
      </c>
      <c r="R12" s="104"/>
      <c r="S12" s="292" t="s">
        <v>243</v>
      </c>
      <c r="T12" s="292" t="s">
        <v>24</v>
      </c>
    </row>
    <row r="13" spans="2:20" x14ac:dyDescent="0.25">
      <c r="B13" s="75"/>
      <c r="C13" s="76" t="s">
        <v>28</v>
      </c>
      <c r="D13" s="77"/>
      <c r="E13" s="78"/>
      <c r="F13" s="79"/>
      <c r="G13" s="80"/>
      <c r="H13" s="81"/>
      <c r="I13" s="82"/>
      <c r="L13" s="294" t="s">
        <v>228</v>
      </c>
      <c r="M13" s="297"/>
      <c r="N13" s="292"/>
      <c r="O13" s="292"/>
      <c r="Q13" s="294" t="s">
        <v>228</v>
      </c>
      <c r="R13" s="297"/>
      <c r="S13" s="292"/>
      <c r="T13" s="292"/>
    </row>
    <row r="14" spans="2:20" x14ac:dyDescent="0.25">
      <c r="B14" s="93"/>
      <c r="C14" s="90"/>
      <c r="D14" s="95"/>
      <c r="E14" s="98"/>
      <c r="F14" s="92"/>
      <c r="G14" s="95"/>
      <c r="H14" s="98"/>
      <c r="I14" s="92"/>
      <c r="L14" s="295"/>
      <c r="M14" s="298" t="s">
        <v>229</v>
      </c>
      <c r="N14" s="293">
        <f>$F$15*'PHLF cost breakdown'!G4</f>
        <v>47403.047085992112</v>
      </c>
      <c r="O14" s="293">
        <f>$I$15*'PHLF cost breakdown'!G4</f>
        <v>47403.047085992112</v>
      </c>
      <c r="Q14" s="295"/>
      <c r="R14" s="298" t="s">
        <v>229</v>
      </c>
      <c r="S14" s="293">
        <f>$F$16*'PHLF cost breakdown'!E4</f>
        <v>161248.98790707026</v>
      </c>
      <c r="T14" s="293">
        <f>$I$16*'PHLF cost breakdown'!E4</f>
        <v>161248.98790707026</v>
      </c>
    </row>
    <row r="15" spans="2:20" x14ac:dyDescent="0.25">
      <c r="B15" s="97"/>
      <c r="C15" s="90" t="s">
        <v>222</v>
      </c>
      <c r="D15" s="95">
        <f>'Unit costs'!D17</f>
        <v>65997.466182524091</v>
      </c>
      <c r="E15" s="96">
        <f>E11</f>
        <v>10</v>
      </c>
      <c r="F15" s="92">
        <f t="shared" ref="F15:F16" si="0">E15*D15</f>
        <v>659974.66182524094</v>
      </c>
      <c r="G15" s="267">
        <f>'Input sheet'!G30</f>
        <v>65997.466182524091</v>
      </c>
      <c r="H15" s="266">
        <f>H11</f>
        <v>10</v>
      </c>
      <c r="I15" s="92">
        <f t="shared" ref="I15:I16" si="1">H15*G15</f>
        <v>659974.66182524094</v>
      </c>
      <c r="L15" s="295"/>
      <c r="M15" s="298" t="s">
        <v>230</v>
      </c>
      <c r="N15" s="293">
        <f>$F$15*'PHLF cost breakdown'!G5</f>
        <v>340939.15240751317</v>
      </c>
      <c r="O15" s="293">
        <f>$I$15*'PHLF cost breakdown'!G5</f>
        <v>340939.15240751317</v>
      </c>
      <c r="Q15" s="295"/>
      <c r="R15" s="298" t="s">
        <v>230</v>
      </c>
      <c r="S15" s="293">
        <f>$F$16*'PHLF cost breakdown'!E5</f>
        <v>158401.41219723271</v>
      </c>
      <c r="T15" s="293">
        <f>$I$16*'PHLF cost breakdown'!E5</f>
        <v>158401.41219723271</v>
      </c>
    </row>
    <row r="16" spans="2:20" x14ac:dyDescent="0.25">
      <c r="B16" s="93"/>
      <c r="C16" s="90" t="s">
        <v>223</v>
      </c>
      <c r="D16" s="95">
        <f>'Unit costs'!D18</f>
        <v>5789.1793499999994</v>
      </c>
      <c r="E16" s="96">
        <f>(E10-E11)</f>
        <v>90</v>
      </c>
      <c r="F16" s="92">
        <f t="shared" si="0"/>
        <v>521026.14149999997</v>
      </c>
      <c r="G16" s="267">
        <f>'Input sheet'!G31</f>
        <v>5789.1793499999994</v>
      </c>
      <c r="H16" s="266">
        <f>H10-H15</f>
        <v>90</v>
      </c>
      <c r="I16" s="92">
        <f t="shared" si="1"/>
        <v>521026.14149999997</v>
      </c>
      <c r="L16" s="295"/>
      <c r="M16" s="298" t="s">
        <v>231</v>
      </c>
      <c r="N16" s="293">
        <f>$F$15*'PHLF cost breakdown'!G6</f>
        <v>46696.736868659347</v>
      </c>
      <c r="O16" s="293">
        <f>$I$15*'PHLF cost breakdown'!G6</f>
        <v>46696.736868659347</v>
      </c>
      <c r="Q16" s="295"/>
      <c r="R16" s="298" t="s">
        <v>231</v>
      </c>
      <c r="S16" s="293">
        <f>$F$16*'PHLF cost breakdown'!E6</f>
        <v>11550.729639904548</v>
      </c>
      <c r="T16" s="293">
        <f>$I$16*'PHLF cost breakdown'!E6</f>
        <v>11550.729639904548</v>
      </c>
    </row>
    <row r="17" spans="2:20" x14ac:dyDescent="0.25">
      <c r="B17" s="75"/>
      <c r="C17" s="90"/>
      <c r="D17" s="99"/>
      <c r="E17" s="84"/>
      <c r="F17" s="92"/>
      <c r="G17" s="100"/>
      <c r="H17" s="84"/>
      <c r="I17" s="92"/>
      <c r="L17" s="294" t="s">
        <v>232</v>
      </c>
      <c r="M17" s="297"/>
      <c r="N17" s="292"/>
      <c r="O17" s="292"/>
      <c r="Q17" s="294" t="s">
        <v>232</v>
      </c>
      <c r="R17" s="297"/>
      <c r="S17" s="292"/>
      <c r="T17" s="292"/>
    </row>
    <row r="18" spans="2:20" x14ac:dyDescent="0.25">
      <c r="B18" s="103"/>
      <c r="C18" s="104" t="s">
        <v>29</v>
      </c>
      <c r="D18" s="105"/>
      <c r="E18" s="106"/>
      <c r="F18" s="107">
        <f>SUM(F14:F17)</f>
        <v>1181000.803325241</v>
      </c>
      <c r="G18" s="108"/>
      <c r="H18" s="109"/>
      <c r="I18" s="107">
        <f>SUM(I14:I17)</f>
        <v>1181000.803325241</v>
      </c>
      <c r="L18" s="296"/>
      <c r="M18" s="298" t="s">
        <v>233</v>
      </c>
      <c r="N18" s="293">
        <f>$F$15*'PHLF cost breakdown'!G8</f>
        <v>68616.432363384112</v>
      </c>
      <c r="O18" s="293">
        <f>$I$15*'PHLF cost breakdown'!G8</f>
        <v>68616.432363384112</v>
      </c>
      <c r="Q18" s="296"/>
      <c r="R18" s="298" t="s">
        <v>233</v>
      </c>
      <c r="S18" s="293">
        <f>$F$16*'PHLF cost breakdown'!E8</f>
        <v>69364.537889635132</v>
      </c>
      <c r="T18" s="293">
        <f>$I$16*'PHLF cost breakdown'!E8</f>
        <v>69364.537889635132</v>
      </c>
    </row>
    <row r="19" spans="2:20" x14ac:dyDescent="0.25">
      <c r="B19" s="101"/>
      <c r="C19" s="76" t="s">
        <v>30</v>
      </c>
      <c r="D19" s="95"/>
      <c r="E19" s="98"/>
      <c r="F19" s="102"/>
      <c r="G19" s="80"/>
      <c r="H19" s="81"/>
      <c r="I19" s="102"/>
      <c r="L19" s="296"/>
      <c r="M19" s="298" t="s">
        <v>234</v>
      </c>
      <c r="N19" s="293">
        <f>$F$15*'PHLF cost breakdown'!G9</f>
        <v>32345.797452852727</v>
      </c>
      <c r="O19" s="293">
        <f>$I$15*'PHLF cost breakdown'!G9</f>
        <v>32345.797452852727</v>
      </c>
      <c r="Q19" s="296"/>
      <c r="R19" s="298" t="s">
        <v>234</v>
      </c>
      <c r="S19" s="293">
        <f>$F$16*'PHLF cost breakdown'!E9</f>
        <v>30120.131804056651</v>
      </c>
      <c r="T19" s="293">
        <f>$I$16*'PHLF cost breakdown'!E9</f>
        <v>30120.131804056651</v>
      </c>
    </row>
    <row r="20" spans="2:20" x14ac:dyDescent="0.25">
      <c r="B20" s="101"/>
      <c r="C20" s="76"/>
      <c r="D20" s="95"/>
      <c r="E20" s="98"/>
      <c r="F20" s="102"/>
      <c r="G20" s="80"/>
      <c r="H20" s="81"/>
      <c r="I20" s="102"/>
      <c r="L20" s="296"/>
      <c r="M20" s="298" t="s">
        <v>235</v>
      </c>
      <c r="N20" s="293">
        <f>$F$15*'PHLF cost breakdown'!G10</f>
        <v>0</v>
      </c>
      <c r="O20" s="293">
        <f>$I$15*'PHLF cost breakdown'!G10</f>
        <v>0</v>
      </c>
      <c r="Q20" s="296"/>
      <c r="R20" s="298" t="s">
        <v>235</v>
      </c>
      <c r="S20" s="293">
        <f>$F$16*'PHLF cost breakdown'!E10</f>
        <v>6437.1253722384727</v>
      </c>
      <c r="T20" s="293">
        <f>$I$16*'PHLF cost breakdown'!E10</f>
        <v>6437.1253722384727</v>
      </c>
    </row>
    <row r="21" spans="2:20" x14ac:dyDescent="0.25">
      <c r="B21" s="101"/>
      <c r="C21" s="68" t="s">
        <v>220</v>
      </c>
      <c r="D21" s="69"/>
      <c r="E21" s="70">
        <f>'Input sheet'!N12</f>
        <v>100</v>
      </c>
      <c r="F21" s="67"/>
      <c r="G21" s="65"/>
      <c r="H21" s="70">
        <f>'Input sheet'!AD12</f>
        <v>100</v>
      </c>
      <c r="I21" s="67"/>
      <c r="L21" s="296"/>
      <c r="M21" s="298" t="s">
        <v>236</v>
      </c>
      <c r="N21" s="293">
        <f>$F$15*'PHLF cost breakdown'!G11</f>
        <v>22521.66442995155</v>
      </c>
      <c r="O21" s="293">
        <f>$I$15*'PHLF cost breakdown'!G11</f>
        <v>22521.66442995155</v>
      </c>
      <c r="Q21" s="296"/>
      <c r="R21" s="298" t="s">
        <v>236</v>
      </c>
      <c r="S21" s="293">
        <f>$F$16*'PHLF cost breakdown'!E11</f>
        <v>18388.922013528594</v>
      </c>
      <c r="T21" s="293">
        <f>$I$16*'PHLF cost breakdown'!E11</f>
        <v>18388.922013528594</v>
      </c>
    </row>
    <row r="22" spans="2:20" x14ac:dyDescent="0.25">
      <c r="B22" s="101"/>
      <c r="C22" s="71" t="s">
        <v>221</v>
      </c>
      <c r="D22" s="72"/>
      <c r="E22" s="73">
        <f>'Input sheet'!Q24</f>
        <v>4</v>
      </c>
      <c r="F22" s="67"/>
      <c r="G22" s="65"/>
      <c r="H22" s="73">
        <f>'Input sheet'!AG24</f>
        <v>4</v>
      </c>
      <c r="I22" s="67"/>
      <c r="L22" s="296"/>
      <c r="M22" s="298" t="s">
        <v>237</v>
      </c>
      <c r="N22" s="293">
        <f>$F$15*'PHLF cost breakdown'!G12</f>
        <v>90584.285372926999</v>
      </c>
      <c r="O22" s="293">
        <f>$I$15*'PHLF cost breakdown'!G12</f>
        <v>90584.285372926999</v>
      </c>
      <c r="Q22" s="296"/>
      <c r="R22" s="298" t="s">
        <v>237</v>
      </c>
      <c r="S22" s="293">
        <f>$F$16*'PHLF cost breakdown'!E12</f>
        <v>53863.298286082667</v>
      </c>
      <c r="T22" s="293">
        <f>$I$16*'PHLF cost breakdown'!E12</f>
        <v>53863.298286082667</v>
      </c>
    </row>
    <row r="23" spans="2:20" x14ac:dyDescent="0.25">
      <c r="B23" s="101"/>
      <c r="C23" s="76"/>
      <c r="D23" s="95"/>
      <c r="E23" s="98"/>
      <c r="F23" s="102"/>
      <c r="G23" s="80"/>
      <c r="H23" s="81"/>
      <c r="I23" s="102"/>
      <c r="L23" s="296"/>
      <c r="M23" s="298" t="s">
        <v>238</v>
      </c>
      <c r="N23" s="293">
        <f>$F$15*'PHLF cost breakdown'!G13</f>
        <v>10867.545843960941</v>
      </c>
      <c r="O23" s="293">
        <f>$I$15*'PHLF cost breakdown'!G13</f>
        <v>10867.545843960941</v>
      </c>
      <c r="Q23" s="296"/>
      <c r="R23" s="298" t="s">
        <v>238</v>
      </c>
      <c r="S23" s="293">
        <f>$F$16*'PHLF cost breakdown'!E13</f>
        <v>11650.996390250943</v>
      </c>
      <c r="T23" s="293">
        <f>$I$16*'PHLF cost breakdown'!E13</f>
        <v>11650.996390250943</v>
      </c>
    </row>
    <row r="24" spans="2:20" x14ac:dyDescent="0.25">
      <c r="B24" s="75"/>
      <c r="C24" s="110"/>
      <c r="D24" s="95"/>
      <c r="E24" s="98"/>
      <c r="F24" s="102"/>
      <c r="G24" s="80"/>
      <c r="H24" s="81"/>
      <c r="I24" s="102"/>
      <c r="L24" s="294" t="s">
        <v>13</v>
      </c>
      <c r="M24" s="297"/>
      <c r="N24" s="299">
        <f>SUM(N14:N23)</f>
        <v>659974.66182524094</v>
      </c>
      <c r="O24" s="299">
        <f>SUM(O14:O23)</f>
        <v>659974.66182524094</v>
      </c>
      <c r="Q24" s="294" t="s">
        <v>13</v>
      </c>
      <c r="R24" s="297"/>
      <c r="S24" s="299">
        <f>SUM(S14:S23)</f>
        <v>521026.14149999997</v>
      </c>
      <c r="T24" s="299">
        <f>SUM(T14:T23)</f>
        <v>521026.14149999997</v>
      </c>
    </row>
    <row r="25" spans="2:20" x14ac:dyDescent="0.25">
      <c r="B25" s="75"/>
      <c r="C25" s="265" t="s">
        <v>225</v>
      </c>
      <c r="D25" s="83"/>
      <c r="E25" s="84"/>
      <c r="F25" s="85"/>
      <c r="G25" s="86"/>
      <c r="H25" s="87"/>
      <c r="I25" s="88"/>
    </row>
    <row r="26" spans="2:20" ht="45" x14ac:dyDescent="0.25">
      <c r="B26" s="75"/>
      <c r="C26" s="90" t="s">
        <v>218</v>
      </c>
      <c r="D26" s="91">
        <f>'Unit costs'!H7</f>
        <v>15</v>
      </c>
      <c r="E26" s="84">
        <f>'Unit costs'!G7</f>
        <v>200</v>
      </c>
      <c r="F26" s="92">
        <f>E26*D26</f>
        <v>3000</v>
      </c>
      <c r="G26" s="91">
        <f>'Input sheet'!G33</f>
        <v>15</v>
      </c>
      <c r="H26" s="84">
        <f>'Unit costs'!G7</f>
        <v>200</v>
      </c>
      <c r="I26" s="92">
        <f>H26*G26</f>
        <v>3000</v>
      </c>
      <c r="L26" s="300" t="s">
        <v>242</v>
      </c>
      <c r="M26" s="104"/>
      <c r="N26" s="292" t="s">
        <v>243</v>
      </c>
      <c r="O26" s="292" t="s">
        <v>24</v>
      </c>
      <c r="Q26" s="300" t="s">
        <v>411</v>
      </c>
      <c r="R26" s="104"/>
      <c r="S26" s="292" t="s">
        <v>243</v>
      </c>
      <c r="T26" s="292" t="s">
        <v>24</v>
      </c>
    </row>
    <row r="27" spans="2:20" x14ac:dyDescent="0.25">
      <c r="B27" s="75"/>
      <c r="C27" s="90" t="s">
        <v>219</v>
      </c>
      <c r="D27" s="91">
        <f>'Unit costs'!E22</f>
        <v>45</v>
      </c>
      <c r="E27" s="84">
        <f>'Unit costs'!G11</f>
        <v>200</v>
      </c>
      <c r="F27" s="92">
        <f>E27*D27</f>
        <v>9000</v>
      </c>
      <c r="G27" s="91">
        <f>'Input sheet'!G32</f>
        <v>45</v>
      </c>
      <c r="H27" s="84">
        <f>'Unit costs'!G11</f>
        <v>200</v>
      </c>
      <c r="I27" s="92">
        <f>H27*G27</f>
        <v>9000</v>
      </c>
      <c r="L27" s="294" t="s">
        <v>228</v>
      </c>
      <c r="M27" s="297"/>
      <c r="N27" s="292"/>
      <c r="O27" s="292"/>
      <c r="Q27" s="294" t="s">
        <v>228</v>
      </c>
      <c r="R27" s="297"/>
      <c r="S27" s="292"/>
      <c r="T27" s="292"/>
    </row>
    <row r="28" spans="2:20" x14ac:dyDescent="0.25">
      <c r="B28" s="89"/>
      <c r="C28" s="94" t="s">
        <v>413</v>
      </c>
      <c r="D28" s="95">
        <f>'Unit costs'!D11</f>
        <v>300</v>
      </c>
      <c r="E28" s="96">
        <f>'Unit costs'!G11</f>
        <v>200</v>
      </c>
      <c r="F28" s="92">
        <f>E28*D28</f>
        <v>60000</v>
      </c>
      <c r="G28" s="95">
        <f>'Input sheet'!G34</f>
        <v>300</v>
      </c>
      <c r="H28" s="96">
        <f>'Unit costs'!G11</f>
        <v>200</v>
      </c>
      <c r="I28" s="92">
        <f>H28*G28</f>
        <v>60000</v>
      </c>
      <c r="L28" s="295"/>
      <c r="M28" s="298" t="s">
        <v>229</v>
      </c>
      <c r="N28" s="293">
        <f>$F$30*'PHLF cost breakdown'!G4</f>
        <v>18961.218834396845</v>
      </c>
      <c r="O28" s="293">
        <f>$I$30*'PHLF cost breakdown'!G4</f>
        <v>18961.218834396845</v>
      </c>
      <c r="Q28" s="295"/>
      <c r="R28" s="298" t="s">
        <v>229</v>
      </c>
      <c r="S28" s="293">
        <f>$F$31*'PHLF cost breakdown'!E4</f>
        <v>171998.9204342083</v>
      </c>
      <c r="T28" s="293">
        <f>$I$31*'PHLF cost breakdown'!E4</f>
        <v>171998.9204342083</v>
      </c>
    </row>
    <row r="29" spans="2:20" ht="15.75" x14ac:dyDescent="0.25">
      <c r="B29" s="75"/>
      <c r="C29" s="90"/>
      <c r="D29" s="112"/>
      <c r="E29" s="111"/>
      <c r="F29" s="92"/>
      <c r="G29" s="113"/>
      <c r="H29" s="111"/>
      <c r="I29" s="92"/>
      <c r="L29" s="295"/>
      <c r="M29" s="298" t="s">
        <v>230</v>
      </c>
      <c r="N29" s="293">
        <f>$F$30*'PHLF cost breakdown'!G5</f>
        <v>136375.66096300527</v>
      </c>
      <c r="O29" s="293">
        <f>$I$30*'PHLF cost breakdown'!G5</f>
        <v>136375.66096300527</v>
      </c>
      <c r="Q29" s="295"/>
      <c r="R29" s="298" t="s">
        <v>230</v>
      </c>
      <c r="S29" s="293">
        <f>$F$31*'PHLF cost breakdown'!E5</f>
        <v>168961.50634371489</v>
      </c>
      <c r="T29" s="293">
        <f>$I$31*'PHLF cost breakdown'!E5</f>
        <v>168961.50634371489</v>
      </c>
    </row>
    <row r="30" spans="2:20" x14ac:dyDescent="0.25">
      <c r="B30" s="89"/>
      <c r="C30" s="90" t="s">
        <v>222</v>
      </c>
      <c r="D30" s="95">
        <f>'Unit costs'!D17</f>
        <v>65997.466182524091</v>
      </c>
      <c r="E30" s="111">
        <f>'Input sheet'!Q24</f>
        <v>4</v>
      </c>
      <c r="F30" s="92">
        <f t="shared" ref="F30:F31" si="2">E30*D30</f>
        <v>263989.86473009636</v>
      </c>
      <c r="G30" s="95">
        <f>'Input sheet'!G30</f>
        <v>65997.466182524091</v>
      </c>
      <c r="H30" s="111">
        <f>'Input sheet'!AG24</f>
        <v>4</v>
      </c>
      <c r="I30" s="92">
        <f t="shared" ref="I30:I31" si="3">H30*G30</f>
        <v>263989.86473009636</v>
      </c>
      <c r="L30" s="295"/>
      <c r="M30" s="298" t="s">
        <v>231</v>
      </c>
      <c r="N30" s="293">
        <f>$F$30*'PHLF cost breakdown'!G6</f>
        <v>18678.694747463738</v>
      </c>
      <c r="O30" s="293">
        <f>$I$30*'PHLF cost breakdown'!G6</f>
        <v>18678.694747463738</v>
      </c>
      <c r="Q30" s="295"/>
      <c r="R30" s="298" t="s">
        <v>231</v>
      </c>
      <c r="S30" s="293">
        <f>$F$31*'PHLF cost breakdown'!E6</f>
        <v>12320.778282564852</v>
      </c>
      <c r="T30" s="293">
        <f>$I$31*'PHLF cost breakdown'!E6</f>
        <v>12320.778282564852</v>
      </c>
    </row>
    <row r="31" spans="2:20" x14ac:dyDescent="0.25">
      <c r="B31" s="75"/>
      <c r="C31" s="90" t="s">
        <v>223</v>
      </c>
      <c r="D31" s="95">
        <f>'Unit costs'!D18</f>
        <v>5789.1793499999994</v>
      </c>
      <c r="E31" s="458">
        <f>E21-E30</f>
        <v>96</v>
      </c>
      <c r="F31" s="92">
        <f t="shared" si="2"/>
        <v>555761.21759999997</v>
      </c>
      <c r="G31" s="95">
        <f>'Input sheet'!G31</f>
        <v>5789.1793499999994</v>
      </c>
      <c r="H31" s="457">
        <f>H21-H30</f>
        <v>96</v>
      </c>
      <c r="I31" s="92">
        <f t="shared" si="3"/>
        <v>555761.21759999997</v>
      </c>
      <c r="L31" s="294" t="s">
        <v>232</v>
      </c>
      <c r="M31" s="297"/>
      <c r="N31" s="292"/>
      <c r="O31" s="292"/>
      <c r="Q31" s="294" t="s">
        <v>232</v>
      </c>
      <c r="R31" s="297"/>
      <c r="S31" s="292"/>
      <c r="T31" s="292"/>
    </row>
    <row r="32" spans="2:20" x14ac:dyDescent="0.25">
      <c r="B32" s="75"/>
      <c r="C32" s="90"/>
      <c r="D32" s="83"/>
      <c r="E32" s="84"/>
      <c r="F32" s="92"/>
      <c r="G32" s="83"/>
      <c r="H32" s="84"/>
      <c r="I32" s="92"/>
      <c r="L32" s="296"/>
      <c r="M32" s="298" t="s">
        <v>233</v>
      </c>
      <c r="N32" s="293">
        <f>$F$30*'PHLF cost breakdown'!G8</f>
        <v>27446.572945353641</v>
      </c>
      <c r="O32" s="293">
        <f>$I$30*'PHLF cost breakdown'!G8</f>
        <v>27446.572945353641</v>
      </c>
      <c r="Q32" s="296"/>
      <c r="R32" s="298" t="s">
        <v>233</v>
      </c>
      <c r="S32" s="293">
        <f>$F$31*'PHLF cost breakdown'!E8</f>
        <v>73988.840415610801</v>
      </c>
      <c r="T32" s="293">
        <f>$I$31*'PHLF cost breakdown'!E8</f>
        <v>73988.840415610801</v>
      </c>
    </row>
    <row r="33" spans="2:20" x14ac:dyDescent="0.25">
      <c r="B33" s="101"/>
      <c r="C33" s="54"/>
      <c r="D33" s="114"/>
      <c r="E33" s="98"/>
      <c r="F33" s="115"/>
      <c r="G33" s="80"/>
      <c r="H33" s="81"/>
      <c r="I33" s="102"/>
      <c r="L33" s="296"/>
      <c r="M33" s="298" t="s">
        <v>234</v>
      </c>
      <c r="N33" s="293">
        <f>$F$30*'PHLF cost breakdown'!G9</f>
        <v>12938.31898114109</v>
      </c>
      <c r="O33" s="293">
        <f>$I$30*'PHLF cost breakdown'!G9</f>
        <v>12938.31898114109</v>
      </c>
      <c r="Q33" s="296"/>
      <c r="R33" s="298" t="s">
        <v>234</v>
      </c>
      <c r="S33" s="293">
        <f>$F$31*'PHLF cost breakdown'!E9</f>
        <v>32128.140590993764</v>
      </c>
      <c r="T33" s="293">
        <f>$I$31*'PHLF cost breakdown'!E9</f>
        <v>32128.140590993764</v>
      </c>
    </row>
    <row r="34" spans="2:20" x14ac:dyDescent="0.25">
      <c r="B34" s="103"/>
      <c r="C34" s="104" t="s">
        <v>31</v>
      </c>
      <c r="D34" s="116"/>
      <c r="E34" s="106"/>
      <c r="F34" s="107">
        <f>SUM(F19:F33)</f>
        <v>891751.08233009628</v>
      </c>
      <c r="G34" s="108"/>
      <c r="H34" s="109"/>
      <c r="I34" s="107">
        <f>SUM(I19:I33)</f>
        <v>891751.08233009628</v>
      </c>
      <c r="L34" s="296"/>
      <c r="M34" s="298" t="s">
        <v>235</v>
      </c>
      <c r="N34" s="293">
        <f>$F$30*'PHLF cost breakdown'!G10</f>
        <v>0</v>
      </c>
      <c r="O34" s="293">
        <f>$I$30*'PHLF cost breakdown'!G10</f>
        <v>0</v>
      </c>
      <c r="Q34" s="296"/>
      <c r="R34" s="298" t="s">
        <v>235</v>
      </c>
      <c r="S34" s="293">
        <f>$F$31*'PHLF cost breakdown'!E10</f>
        <v>6866.2670637210376</v>
      </c>
      <c r="T34" s="293">
        <f>$I$31*'PHLF cost breakdown'!E10</f>
        <v>6866.2670637210376</v>
      </c>
    </row>
    <row r="35" spans="2:20" x14ac:dyDescent="0.25">
      <c r="B35" s="117"/>
      <c r="C35" s="118"/>
      <c r="D35" s="119"/>
      <c r="E35" s="120"/>
      <c r="F35" s="121"/>
      <c r="G35" s="122"/>
      <c r="H35" s="123"/>
      <c r="I35" s="121"/>
      <c r="L35" s="296"/>
      <c r="M35" s="298" t="s">
        <v>236</v>
      </c>
      <c r="N35" s="293">
        <f>$F$30*'PHLF cost breakdown'!G11</f>
        <v>9008.665771980619</v>
      </c>
      <c r="O35" s="293">
        <f>$I$30*'PHLF cost breakdown'!G11</f>
        <v>9008.665771980619</v>
      </c>
      <c r="Q35" s="296"/>
      <c r="R35" s="298" t="s">
        <v>236</v>
      </c>
      <c r="S35" s="293">
        <f>$F$31*'PHLF cost breakdown'!E11</f>
        <v>19614.850147763835</v>
      </c>
      <c r="T35" s="293">
        <f>$I$31*'PHLF cost breakdown'!E11</f>
        <v>19614.850147763835</v>
      </c>
    </row>
    <row r="36" spans="2:20" x14ac:dyDescent="0.25">
      <c r="B36" s="124"/>
      <c r="C36" s="125" t="s">
        <v>32</v>
      </c>
      <c r="D36" s="126"/>
      <c r="E36" s="127"/>
      <c r="F36" s="128">
        <f>F34-F18</f>
        <v>-289249.72099514469</v>
      </c>
      <c r="G36" s="129"/>
      <c r="H36" s="130"/>
      <c r="I36" s="128">
        <f>I34-I18</f>
        <v>-289249.72099514469</v>
      </c>
      <c r="L36" s="296"/>
      <c r="M36" s="298" t="s">
        <v>237</v>
      </c>
      <c r="N36" s="293">
        <f>$F$30*'PHLF cost breakdown'!G12</f>
        <v>36233.714149170803</v>
      </c>
      <c r="O36" s="293">
        <f>$I$30*'PHLF cost breakdown'!G12</f>
        <v>36233.714149170803</v>
      </c>
      <c r="Q36" s="296"/>
      <c r="R36" s="298" t="s">
        <v>237</v>
      </c>
      <c r="S36" s="293">
        <f>$F$31*'PHLF cost breakdown'!E12</f>
        <v>57454.184838488181</v>
      </c>
      <c r="T36" s="293">
        <f>$I$31*'PHLF cost breakdown'!E12</f>
        <v>57454.184838488181</v>
      </c>
    </row>
    <row r="37" spans="2:20" x14ac:dyDescent="0.25">
      <c r="B37" s="124"/>
      <c r="C37" s="125" t="s">
        <v>244</v>
      </c>
      <c r="D37" s="126"/>
      <c r="E37" s="127"/>
      <c r="F37" s="128">
        <f>F36/E21</f>
        <v>-2892.4972099514471</v>
      </c>
      <c r="G37" s="129"/>
      <c r="H37" s="130"/>
      <c r="I37" s="128">
        <f>I36/H21</f>
        <v>-2892.4972099514471</v>
      </c>
      <c r="L37" s="296"/>
      <c r="M37" s="298" t="s">
        <v>238</v>
      </c>
      <c r="N37" s="293">
        <f>$F$30*'PHLF cost breakdown'!G13</f>
        <v>4347.0183375843762</v>
      </c>
      <c r="O37" s="293">
        <f>$I$30*'PHLF cost breakdown'!G13</f>
        <v>4347.0183375843762</v>
      </c>
      <c r="Q37" s="296"/>
      <c r="R37" s="298" t="s">
        <v>238</v>
      </c>
      <c r="S37" s="293">
        <f>$F$31*'PHLF cost breakdown'!E13</f>
        <v>12427.729482934337</v>
      </c>
      <c r="T37" s="293">
        <f>$I$31*'PHLF cost breakdown'!E13</f>
        <v>12427.729482934337</v>
      </c>
    </row>
    <row r="38" spans="2:20" x14ac:dyDescent="0.25">
      <c r="B38" s="131"/>
      <c r="C38" s="132"/>
      <c r="D38" s="133"/>
      <c r="E38" s="98"/>
      <c r="F38" s="134"/>
      <c r="G38" s="135"/>
      <c r="H38" s="135"/>
      <c r="I38" s="134"/>
      <c r="L38" s="294" t="s">
        <v>13</v>
      </c>
      <c r="M38" s="297"/>
      <c r="N38" s="299">
        <f>SUM(N28:N37)</f>
        <v>263989.86473009642</v>
      </c>
      <c r="O38" s="299">
        <f>SUM(O28:O37)</f>
        <v>263989.86473009642</v>
      </c>
      <c r="Q38" s="294" t="s">
        <v>13</v>
      </c>
      <c r="R38" s="297"/>
      <c r="S38" s="299">
        <f>SUM(S28:S37)</f>
        <v>555761.21759999997</v>
      </c>
      <c r="T38" s="299">
        <f>SUM(T28:T37)</f>
        <v>555761.21759999997</v>
      </c>
    </row>
    <row r="39" spans="2:20" x14ac:dyDescent="0.25">
      <c r="B39" s="131"/>
      <c r="C39" s="136"/>
      <c r="D39" s="137"/>
      <c r="E39" s="138"/>
      <c r="F39" s="139"/>
      <c r="G39" s="140"/>
      <c r="H39" s="140"/>
      <c r="I39" s="139"/>
    </row>
    <row r="40" spans="2:20" x14ac:dyDescent="0.25">
      <c r="B40" s="131"/>
      <c r="F40" s="139"/>
      <c r="G40" s="140"/>
      <c r="H40" s="140"/>
      <c r="I40" s="139"/>
      <c r="N40" s="274"/>
      <c r="S40" s="274"/>
    </row>
    <row r="41" spans="2:20" ht="15.75" x14ac:dyDescent="0.25">
      <c r="B41" s="54"/>
      <c r="C41" s="445" t="s">
        <v>415</v>
      </c>
      <c r="D41" s="446"/>
      <c r="E41" s="447" t="s">
        <v>416</v>
      </c>
      <c r="F41" s="141"/>
      <c r="G41" s="449"/>
      <c r="H41" s="447" t="s">
        <v>416</v>
      </c>
      <c r="I41" s="54"/>
      <c r="L41" s="273"/>
      <c r="Q41" s="273"/>
    </row>
    <row r="42" spans="2:20" ht="15.75" x14ac:dyDescent="0.25">
      <c r="C42" s="448" t="s">
        <v>228</v>
      </c>
      <c r="D42" s="449"/>
      <c r="E42" s="447"/>
      <c r="G42" s="449"/>
      <c r="H42" s="447"/>
      <c r="L42" s="273"/>
      <c r="N42" s="272"/>
      <c r="Q42" s="273"/>
      <c r="S42" s="272"/>
    </row>
    <row r="43" spans="2:20" ht="15.75" x14ac:dyDescent="0.25">
      <c r="C43" s="450"/>
      <c r="D43" s="451" t="s">
        <v>229</v>
      </c>
      <c r="E43" s="452">
        <f>N14+S14-N28-S28</f>
        <v>17691.895724457223</v>
      </c>
      <c r="G43" s="451" t="s">
        <v>229</v>
      </c>
      <c r="H43" s="452">
        <f>O14+T14-O28-T28</f>
        <v>17691.895724457223</v>
      </c>
      <c r="L43" s="273"/>
      <c r="N43" s="272"/>
      <c r="Q43" s="273"/>
      <c r="S43" s="272"/>
    </row>
    <row r="44" spans="2:20" ht="15.75" x14ac:dyDescent="0.25">
      <c r="C44" s="450"/>
      <c r="D44" s="451" t="s">
        <v>230</v>
      </c>
      <c r="E44" s="452">
        <f>N15+S15-N29-S29</f>
        <v>194003.39729802572</v>
      </c>
      <c r="G44" s="451" t="s">
        <v>230</v>
      </c>
      <c r="H44" s="452">
        <f t="shared" ref="H44:H52" si="4">O15+T15-O29-T29</f>
        <v>194003.39729802572</v>
      </c>
      <c r="P44" s="273"/>
      <c r="Q44" s="272"/>
      <c r="R44" s="272"/>
    </row>
    <row r="45" spans="2:20" ht="15.75" x14ac:dyDescent="0.25">
      <c r="C45" s="450"/>
      <c r="D45" s="451" t="s">
        <v>231</v>
      </c>
      <c r="E45" s="452">
        <f>N16+S16-N30-S30</f>
        <v>27247.993478535303</v>
      </c>
      <c r="G45" s="451" t="s">
        <v>231</v>
      </c>
      <c r="H45" s="452">
        <f t="shared" si="4"/>
        <v>27247.993478535303</v>
      </c>
      <c r="P45" s="273"/>
      <c r="Q45" s="272"/>
      <c r="R45" s="272"/>
    </row>
    <row r="46" spans="2:20" ht="15.75" x14ac:dyDescent="0.25">
      <c r="C46" s="448" t="s">
        <v>232</v>
      </c>
      <c r="D46" s="449"/>
      <c r="E46" s="447"/>
      <c r="G46" s="449"/>
      <c r="H46" s="447"/>
      <c r="P46" s="273"/>
      <c r="Q46" s="272"/>
      <c r="R46" s="272"/>
    </row>
    <row r="47" spans="2:20" ht="15.75" x14ac:dyDescent="0.25">
      <c r="C47" s="453"/>
      <c r="D47" s="451" t="s">
        <v>233</v>
      </c>
      <c r="E47" s="452">
        <f>N18+S18-N32-S32</f>
        <v>36545.55689205481</v>
      </c>
      <c r="G47" s="451" t="s">
        <v>233</v>
      </c>
      <c r="H47" s="452">
        <f t="shared" si="4"/>
        <v>36545.55689205481</v>
      </c>
      <c r="P47" s="273"/>
      <c r="Q47" s="272"/>
      <c r="R47" s="272"/>
    </row>
    <row r="48" spans="2:20" ht="15.75" x14ac:dyDescent="0.25">
      <c r="C48" s="453"/>
      <c r="D48" s="451" t="s">
        <v>234</v>
      </c>
      <c r="E48" s="452">
        <f>N19+S19-N33-S33</f>
        <v>17399.469684774525</v>
      </c>
      <c r="G48" s="451" t="s">
        <v>234</v>
      </c>
      <c r="H48" s="452">
        <f t="shared" si="4"/>
        <v>17399.469684774525</v>
      </c>
      <c r="P48" s="273"/>
      <c r="Q48" s="272"/>
      <c r="R48" s="272"/>
    </row>
    <row r="49" spans="3:18" ht="15.75" x14ac:dyDescent="0.25">
      <c r="C49" s="453"/>
      <c r="D49" s="451" t="s">
        <v>235</v>
      </c>
      <c r="E49" s="452">
        <f>N20+S20-N34-S34</f>
        <v>-429.14169148256497</v>
      </c>
      <c r="G49" s="451" t="s">
        <v>235</v>
      </c>
      <c r="H49" s="452">
        <f t="shared" si="4"/>
        <v>-429.14169148256497</v>
      </c>
      <c r="P49" s="273"/>
      <c r="Q49" s="272"/>
      <c r="R49" s="272"/>
    </row>
    <row r="50" spans="3:18" ht="15.75" x14ac:dyDescent="0.25">
      <c r="C50" s="453"/>
      <c r="D50" s="451" t="s">
        <v>236</v>
      </c>
      <c r="E50" s="452">
        <f>N21+S21-N35-S35</f>
        <v>12287.070523735696</v>
      </c>
      <c r="G50" s="451" t="s">
        <v>236</v>
      </c>
      <c r="H50" s="452">
        <f t="shared" si="4"/>
        <v>12287.070523735696</v>
      </c>
      <c r="P50" s="273"/>
      <c r="Q50" s="272"/>
      <c r="R50" s="272"/>
    </row>
    <row r="51" spans="3:18" ht="15.75" x14ac:dyDescent="0.25">
      <c r="C51" s="453"/>
      <c r="D51" s="451" t="s">
        <v>237</v>
      </c>
      <c r="E51" s="452">
        <f>N22+S22-N36-S36</f>
        <v>50759.684671350675</v>
      </c>
      <c r="G51" s="451" t="s">
        <v>237</v>
      </c>
      <c r="H51" s="452">
        <f t="shared" si="4"/>
        <v>50759.684671350675</v>
      </c>
      <c r="P51" s="273"/>
      <c r="Q51" s="272"/>
      <c r="R51" s="272"/>
    </row>
    <row r="52" spans="3:18" ht="15.75" x14ac:dyDescent="0.25">
      <c r="C52" s="453"/>
      <c r="D52" s="451" t="s">
        <v>238</v>
      </c>
      <c r="E52" s="452">
        <f>N23+S23-N37-S37</f>
        <v>5743.7944136931692</v>
      </c>
      <c r="G52" s="451" t="s">
        <v>238</v>
      </c>
      <c r="H52" s="452">
        <f t="shared" si="4"/>
        <v>5743.7944136931692</v>
      </c>
      <c r="P52" s="273"/>
      <c r="Q52" s="272"/>
      <c r="R52" s="272"/>
    </row>
    <row r="53" spans="3:18" ht="15.75" x14ac:dyDescent="0.25">
      <c r="C53" s="448" t="s">
        <v>414</v>
      </c>
      <c r="D53" s="449"/>
      <c r="E53" s="454">
        <f>SUM(E43:E52)</f>
        <v>361249.72099514463</v>
      </c>
      <c r="G53" s="449"/>
      <c r="H53" s="454">
        <f>SUM(H43:H52)</f>
        <v>361249.72099514463</v>
      </c>
    </row>
    <row r="54" spans="3:18" ht="15.75" x14ac:dyDescent="0.25">
      <c r="C54" s="448" t="s">
        <v>412</v>
      </c>
      <c r="D54" s="449"/>
      <c r="E54" s="454">
        <f>F27+F28+F26</f>
        <v>72000</v>
      </c>
      <c r="G54" s="449"/>
      <c r="H54" s="454">
        <f>I27+I28+I26</f>
        <v>72000</v>
      </c>
    </row>
    <row r="55" spans="3:18" ht="15.75" x14ac:dyDescent="0.25">
      <c r="C55" s="455"/>
      <c r="D55" s="40"/>
      <c r="E55" s="40"/>
      <c r="G55" s="40"/>
      <c r="H55" s="40"/>
    </row>
    <row r="56" spans="3:18" ht="15.75" x14ac:dyDescent="0.25">
      <c r="C56" s="448" t="s">
        <v>417</v>
      </c>
      <c r="D56" s="449"/>
      <c r="E56" s="456">
        <f>E53-E54</f>
        <v>289249.72099514463</v>
      </c>
      <c r="G56" s="449"/>
      <c r="H56" s="456">
        <f>H53-H54</f>
        <v>289249.72099514463</v>
      </c>
    </row>
    <row r="60" spans="3:18" x14ac:dyDescent="0.25">
      <c r="L60" s="273"/>
      <c r="N60" s="272"/>
    </row>
    <row r="61" spans="3:18" x14ac:dyDescent="0.25">
      <c r="L61" s="273"/>
      <c r="N61" s="272"/>
    </row>
    <row r="62" spans="3:18" x14ac:dyDescent="0.25">
      <c r="L62" s="273"/>
      <c r="N62" s="272"/>
    </row>
    <row r="63" spans="3:18" x14ac:dyDescent="0.25">
      <c r="L63" s="273"/>
      <c r="N63" s="272"/>
    </row>
    <row r="64" spans="3:18" x14ac:dyDescent="0.25">
      <c r="L64" s="273"/>
      <c r="N64" s="272"/>
    </row>
    <row r="65" spans="12:14" x14ac:dyDescent="0.25">
      <c r="L65" s="273"/>
      <c r="N65" s="272"/>
    </row>
    <row r="66" spans="12:14" x14ac:dyDescent="0.25">
      <c r="L66" s="273"/>
      <c r="N66" s="272"/>
    </row>
    <row r="67" spans="12:14" x14ac:dyDescent="0.25">
      <c r="L67" s="273"/>
      <c r="N67" s="272"/>
    </row>
    <row r="68" spans="12:14" x14ac:dyDescent="0.25">
      <c r="L68" s="273"/>
      <c r="N68" s="272"/>
    </row>
    <row r="69" spans="12:14" x14ac:dyDescent="0.25">
      <c r="L69" s="273"/>
      <c r="N69" s="272"/>
    </row>
  </sheetData>
  <protectedRanges>
    <protectedRange sqref="D7:I7" name="Range1"/>
  </protectedRanges>
  <mergeCells count="4">
    <mergeCell ref="D6:F6"/>
    <mergeCell ref="G6:I6"/>
    <mergeCell ref="D7:F7"/>
    <mergeCell ref="G7:I7"/>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5"/>
  <sheetViews>
    <sheetView topLeftCell="A22" workbookViewId="0">
      <selection activeCell="C7" sqref="C7"/>
    </sheetView>
  </sheetViews>
  <sheetFormatPr defaultRowHeight="15.75" x14ac:dyDescent="0.25"/>
  <cols>
    <col min="2" max="2" width="18.42578125" style="325" bestFit="1" customWidth="1"/>
    <col min="3" max="3" width="94.140625" style="301" customWidth="1"/>
    <col min="4" max="4" width="12" style="301" customWidth="1"/>
  </cols>
  <sheetData>
    <row r="2" spans="2:4" x14ac:dyDescent="0.25">
      <c r="B2" s="381" t="s">
        <v>138</v>
      </c>
      <c r="C2" s="381"/>
    </row>
    <row r="3" spans="2:4" x14ac:dyDescent="0.25">
      <c r="B3" s="305"/>
      <c r="C3" s="302"/>
      <c r="D3" s="303"/>
    </row>
    <row r="4" spans="2:4" x14ac:dyDescent="0.25">
      <c r="B4" s="305"/>
      <c r="C4" s="302"/>
      <c r="D4" s="304"/>
    </row>
    <row r="5" spans="2:4" x14ac:dyDescent="0.25">
      <c r="B5" s="305"/>
      <c r="C5" s="305"/>
      <c r="D5" s="304"/>
    </row>
    <row r="6" spans="2:4" x14ac:dyDescent="0.25">
      <c r="B6" s="305"/>
      <c r="C6" s="305"/>
      <c r="D6" s="304"/>
    </row>
    <row r="7" spans="2:4" ht="54" x14ac:dyDescent="0.25">
      <c r="B7" s="305"/>
      <c r="C7" s="306" t="s">
        <v>302</v>
      </c>
      <c r="D7" s="304"/>
    </row>
    <row r="8" spans="2:4" x14ac:dyDescent="0.25">
      <c r="B8" s="305"/>
      <c r="C8" s="302"/>
      <c r="D8" s="307"/>
    </row>
    <row r="9" spans="2:4" ht="18" x14ac:dyDescent="0.25">
      <c r="B9" s="327" t="s">
        <v>261</v>
      </c>
      <c r="C9" s="308"/>
      <c r="D9" s="308"/>
    </row>
    <row r="10" spans="2:4" ht="15.75" customHeight="1" x14ac:dyDescent="0.25">
      <c r="B10" s="418" t="s">
        <v>262</v>
      </c>
      <c r="C10" s="418"/>
      <c r="D10" s="308"/>
    </row>
    <row r="11" spans="2:4" x14ac:dyDescent="0.25">
      <c r="B11" s="328"/>
      <c r="C11" s="308"/>
      <c r="D11" s="308"/>
    </row>
    <row r="12" spans="2:4" ht="15.75" customHeight="1" x14ac:dyDescent="0.25">
      <c r="B12" s="418" t="s">
        <v>263</v>
      </c>
      <c r="C12" s="418"/>
      <c r="D12" s="308"/>
    </row>
    <row r="13" spans="2:4" x14ac:dyDescent="0.25">
      <c r="B13" s="329"/>
      <c r="C13" s="308"/>
      <c r="D13" s="308"/>
    </row>
    <row r="14" spans="2:4" ht="15.75" customHeight="1" x14ac:dyDescent="0.25">
      <c r="B14" s="418" t="s">
        <v>264</v>
      </c>
      <c r="C14" s="418"/>
      <c r="D14" s="308"/>
    </row>
    <row r="15" spans="2:4" ht="15" x14ac:dyDescent="0.25">
      <c r="B15" s="330"/>
      <c r="C15" s="309"/>
      <c r="D15" s="1"/>
    </row>
    <row r="16" spans="2:4" ht="18" x14ac:dyDescent="0.25">
      <c r="B16" s="422" t="s">
        <v>265</v>
      </c>
      <c r="C16" s="422"/>
      <c r="D16" s="275"/>
    </row>
    <row r="17" spans="2:4" ht="15" customHeight="1" x14ac:dyDescent="0.25">
      <c r="B17" s="418" t="s">
        <v>266</v>
      </c>
      <c r="C17" s="418"/>
      <c r="D17" s="275"/>
    </row>
    <row r="18" spans="2:4" ht="15" customHeight="1" x14ac:dyDescent="0.25">
      <c r="B18" s="418" t="s">
        <v>267</v>
      </c>
      <c r="C18" s="418"/>
      <c r="D18" s="275"/>
    </row>
    <row r="19" spans="2:4" ht="15" customHeight="1" x14ac:dyDescent="0.25">
      <c r="B19" s="418" t="s">
        <v>268</v>
      </c>
      <c r="C19" s="418"/>
      <c r="D19" s="275"/>
    </row>
    <row r="20" spans="2:4" ht="15" customHeight="1" x14ac:dyDescent="0.25">
      <c r="B20" s="421" t="s">
        <v>269</v>
      </c>
      <c r="C20" s="421"/>
      <c r="D20" s="275"/>
    </row>
    <row r="21" spans="2:4" x14ac:dyDescent="0.25">
      <c r="B21" s="331"/>
      <c r="C21" s="310"/>
      <c r="D21" s="275"/>
    </row>
    <row r="22" spans="2:4" ht="18" x14ac:dyDescent="0.25">
      <c r="B22" s="422" t="s">
        <v>270</v>
      </c>
      <c r="C22" s="422"/>
      <c r="D22" s="302"/>
    </row>
    <row r="23" spans="2:4" ht="15" customHeight="1" x14ac:dyDescent="0.25">
      <c r="B23" s="418" t="s">
        <v>271</v>
      </c>
      <c r="C23" s="418"/>
      <c r="D23" s="275"/>
    </row>
    <row r="24" spans="2:4" x14ac:dyDescent="0.25">
      <c r="B24" s="326"/>
      <c r="C24" s="276"/>
      <c r="D24" s="276"/>
    </row>
    <row r="25" spans="2:4" ht="18" x14ac:dyDescent="0.25">
      <c r="B25" s="416" t="s">
        <v>272</v>
      </c>
      <c r="C25" s="416"/>
      <c r="D25" s="302"/>
    </row>
    <row r="26" spans="2:4" ht="15.75" customHeight="1" x14ac:dyDescent="0.25">
      <c r="B26" s="418" t="s">
        <v>273</v>
      </c>
      <c r="C26" s="418"/>
      <c r="D26" s="302"/>
    </row>
    <row r="27" spans="2:4" x14ac:dyDescent="0.25">
      <c r="B27"/>
      <c r="C27" s="310"/>
      <c r="D27" s="302"/>
    </row>
    <row r="28" spans="2:4" ht="45" x14ac:dyDescent="0.25">
      <c r="B28"/>
      <c r="C28" s="322" t="s">
        <v>274</v>
      </c>
      <c r="D28" s="311" t="s">
        <v>275</v>
      </c>
    </row>
    <row r="29" spans="2:4" ht="15" x14ac:dyDescent="0.25">
      <c r="B29"/>
      <c r="C29" s="323" t="s">
        <v>276</v>
      </c>
      <c r="D29" s="312">
        <v>1203723.4499641494</v>
      </c>
    </row>
    <row r="30" spans="2:4" ht="15" x14ac:dyDescent="0.25">
      <c r="B30"/>
      <c r="C30" s="324" t="s">
        <v>277</v>
      </c>
      <c r="D30" s="313">
        <v>-2578270.0274999994</v>
      </c>
    </row>
    <row r="31" spans="2:4" ht="15" x14ac:dyDescent="0.25">
      <c r="B31"/>
      <c r="C31" s="322" t="s">
        <v>278</v>
      </c>
      <c r="D31" s="314">
        <v>-1374546.57753585</v>
      </c>
    </row>
    <row r="32" spans="2:4" ht="15" x14ac:dyDescent="0.25">
      <c r="B32"/>
      <c r="C32" s="322" t="s">
        <v>279</v>
      </c>
      <c r="D32" s="314">
        <v>-146.81797404853</v>
      </c>
    </row>
    <row r="33" spans="2:4" ht="15" x14ac:dyDescent="0.25">
      <c r="B33"/>
      <c r="C33" s="315"/>
      <c r="D33" s="316"/>
    </row>
    <row r="34" spans="2:4" ht="15" customHeight="1" x14ac:dyDescent="0.25">
      <c r="B34" s="418" t="s">
        <v>280</v>
      </c>
      <c r="C34" s="418"/>
      <c r="D34" s="316"/>
    </row>
    <row r="35" spans="2:4" ht="15" x14ac:dyDescent="0.25">
      <c r="B35" s="324"/>
      <c r="C35" s="310"/>
      <c r="D35" s="316"/>
    </row>
    <row r="36" spans="2:4" ht="15" customHeight="1" x14ac:dyDescent="0.25">
      <c r="B36" s="418" t="s">
        <v>281</v>
      </c>
      <c r="C36" s="418"/>
      <c r="D36" s="317"/>
    </row>
    <row r="37" spans="2:4" x14ac:dyDescent="0.25">
      <c r="B37" s="326"/>
      <c r="C37" s="310"/>
      <c r="D37" s="317"/>
    </row>
    <row r="38" spans="2:4" ht="15" customHeight="1" x14ac:dyDescent="0.25">
      <c r="B38" s="418" t="s">
        <v>282</v>
      </c>
      <c r="C38" s="418"/>
      <c r="D38" s="317"/>
    </row>
    <row r="39" spans="2:4" x14ac:dyDescent="0.25">
      <c r="B39" s="326"/>
      <c r="C39" s="317"/>
      <c r="D39" s="317"/>
    </row>
    <row r="40" spans="2:4" ht="45" x14ac:dyDescent="0.25">
      <c r="B40" s="326"/>
      <c r="C40" s="322" t="s">
        <v>283</v>
      </c>
      <c r="D40" s="311" t="s">
        <v>275</v>
      </c>
    </row>
    <row r="41" spans="2:4" x14ac:dyDescent="0.25">
      <c r="B41" s="326"/>
      <c r="C41" s="323" t="s">
        <v>276</v>
      </c>
      <c r="D41" s="312" t="e">
        <f>SUM(#REF!)-SUM(#REF!)</f>
        <v>#REF!</v>
      </c>
    </row>
    <row r="42" spans="2:4" x14ac:dyDescent="0.25">
      <c r="B42" s="326"/>
      <c r="C42" s="324" t="s">
        <v>277</v>
      </c>
      <c r="D42" s="313" t="e">
        <f>SUM(#REF!)-SUM(#REF!)</f>
        <v>#REF!</v>
      </c>
    </row>
    <row r="43" spans="2:4" x14ac:dyDescent="0.25">
      <c r="B43" s="326"/>
      <c r="C43" s="322" t="s">
        <v>278</v>
      </c>
      <c r="D43" s="314" t="e">
        <f>SUM(D41:D42)</f>
        <v>#REF!</v>
      </c>
    </row>
    <row r="44" spans="2:4" x14ac:dyDescent="0.25">
      <c r="B44" s="326"/>
      <c r="C44" s="322" t="s">
        <v>279</v>
      </c>
      <c r="D44" s="314" t="e">
        <f>#REF!</f>
        <v>#REF!</v>
      </c>
    </row>
    <row r="45" spans="2:4" x14ac:dyDescent="0.25">
      <c r="B45" s="326"/>
      <c r="C45" s="315"/>
      <c r="D45" s="316"/>
    </row>
    <row r="46" spans="2:4" x14ac:dyDescent="0.25">
      <c r="B46" s="326"/>
      <c r="C46" s="302"/>
      <c r="D46" s="302"/>
    </row>
    <row r="47" spans="2:4" ht="15" x14ac:dyDescent="0.25">
      <c r="B47" s="419" t="s">
        <v>284</v>
      </c>
      <c r="C47" s="419"/>
      <c r="D47" s="318"/>
    </row>
    <row r="48" spans="2:4" ht="15" x14ac:dyDescent="0.25">
      <c r="B48" s="420" t="s">
        <v>285</v>
      </c>
      <c r="C48" s="420"/>
      <c r="D48" s="318"/>
    </row>
    <row r="49" spans="2:4" x14ac:dyDescent="0.25">
      <c r="B49" s="326" t="s">
        <v>286</v>
      </c>
      <c r="C49" s="318" t="e">
        <f>#REF!</f>
        <v>#REF!</v>
      </c>
      <c r="D49" s="318"/>
    </row>
    <row r="50" spans="2:4" x14ac:dyDescent="0.25">
      <c r="B50" s="326" t="s">
        <v>286</v>
      </c>
      <c r="C50" s="318" t="e">
        <f>#REF!</f>
        <v>#REF!</v>
      </c>
      <c r="D50" s="318"/>
    </row>
    <row r="51" spans="2:4" x14ac:dyDescent="0.25">
      <c r="B51" s="326" t="s">
        <v>286</v>
      </c>
      <c r="C51" s="318" t="e">
        <f>#REF!</f>
        <v>#REF!</v>
      </c>
      <c r="D51" s="318"/>
    </row>
    <row r="52" spans="2:4" ht="15" customHeight="1" x14ac:dyDescent="0.25">
      <c r="B52" s="421" t="s">
        <v>287</v>
      </c>
      <c r="C52" s="421"/>
      <c r="D52" s="318"/>
    </row>
    <row r="53" spans="2:4" ht="15" customHeight="1" x14ac:dyDescent="0.25">
      <c r="B53" s="421" t="s">
        <v>288</v>
      </c>
      <c r="C53" s="421"/>
      <c r="D53" s="318"/>
    </row>
    <row r="54" spans="2:4" ht="15" x14ac:dyDescent="0.25">
      <c r="B54" s="421"/>
      <c r="C54" s="421"/>
      <c r="D54" s="318"/>
    </row>
    <row r="55" spans="2:4" x14ac:dyDescent="0.25">
      <c r="B55" s="326"/>
      <c r="C55" s="319"/>
      <c r="D55" s="318"/>
    </row>
    <row r="56" spans="2:4" ht="18" x14ac:dyDescent="0.25">
      <c r="B56" s="416" t="s">
        <v>289</v>
      </c>
      <c r="C56" s="416"/>
      <c r="D56" s="318"/>
    </row>
    <row r="57" spans="2:4" ht="15" customHeight="1" x14ac:dyDescent="0.25">
      <c r="B57" s="417" t="s">
        <v>290</v>
      </c>
      <c r="C57" s="417"/>
      <c r="D57" s="275"/>
    </row>
    <row r="58" spans="2:4" ht="15" customHeight="1" x14ac:dyDescent="0.25">
      <c r="B58" s="417" t="s">
        <v>291</v>
      </c>
      <c r="C58" s="417"/>
      <c r="D58" s="275"/>
    </row>
    <row r="59" spans="2:4" ht="15" customHeight="1" x14ac:dyDescent="0.25">
      <c r="B59" s="417" t="s">
        <v>292</v>
      </c>
      <c r="C59" s="417"/>
      <c r="D59" s="275"/>
    </row>
    <row r="60" spans="2:4" x14ac:dyDescent="0.25">
      <c r="B60" s="326"/>
      <c r="C60" s="319"/>
      <c r="D60" s="275"/>
    </row>
    <row r="61" spans="2:4" ht="18" x14ac:dyDescent="0.25">
      <c r="B61" s="416" t="s">
        <v>293</v>
      </c>
      <c r="C61" s="416"/>
      <c r="D61" s="320"/>
    </row>
    <row r="62" spans="2:4" ht="15" customHeight="1" x14ac:dyDescent="0.25">
      <c r="B62" s="418" t="s">
        <v>294</v>
      </c>
      <c r="C62" s="418"/>
      <c r="D62" s="320"/>
    </row>
    <row r="63" spans="2:4" ht="15" customHeight="1" x14ac:dyDescent="0.25">
      <c r="B63" s="417" t="s">
        <v>295</v>
      </c>
      <c r="C63" s="417"/>
      <c r="D63" s="320"/>
    </row>
    <row r="64" spans="2:4" ht="15" customHeight="1" x14ac:dyDescent="0.25">
      <c r="B64" s="417" t="s">
        <v>296</v>
      </c>
      <c r="C64" s="417"/>
      <c r="D64" s="276"/>
    </row>
    <row r="65" spans="2:4" ht="15" customHeight="1" x14ac:dyDescent="0.25">
      <c r="B65" s="417" t="s">
        <v>297</v>
      </c>
      <c r="C65" s="417"/>
      <c r="D65" s="276"/>
    </row>
    <row r="66" spans="2:4" x14ac:dyDescent="0.25">
      <c r="B66" s="326"/>
      <c r="C66" s="319"/>
      <c r="D66" s="276"/>
    </row>
    <row r="67" spans="2:4" ht="18" x14ac:dyDescent="0.25">
      <c r="B67" s="416" t="s">
        <v>298</v>
      </c>
      <c r="C67" s="416"/>
      <c r="D67" s="276"/>
    </row>
    <row r="68" spans="2:4" ht="15" customHeight="1" x14ac:dyDescent="0.25">
      <c r="B68" s="417" t="s">
        <v>299</v>
      </c>
      <c r="C68" s="417"/>
      <c r="D68" s="276"/>
    </row>
    <row r="69" spans="2:4" ht="15" customHeight="1" x14ac:dyDescent="0.25">
      <c r="B69" s="418" t="s">
        <v>300</v>
      </c>
      <c r="C69" s="418"/>
      <c r="D69" s="276"/>
    </row>
    <row r="70" spans="2:4" ht="15" customHeight="1" x14ac:dyDescent="0.25">
      <c r="B70" s="418" t="s">
        <v>301</v>
      </c>
      <c r="C70" s="418"/>
      <c r="D70" s="276"/>
    </row>
    <row r="71" spans="2:4" x14ac:dyDescent="0.25">
      <c r="B71" s="326"/>
      <c r="C71" s="319"/>
      <c r="D71" s="276"/>
    </row>
    <row r="72" spans="2:4" x14ac:dyDescent="0.25">
      <c r="C72" s="321"/>
      <c r="D72" s="321"/>
    </row>
    <row r="73" spans="2:4" x14ac:dyDescent="0.25">
      <c r="C73" s="321"/>
      <c r="D73" s="321"/>
    </row>
    <row r="74" spans="2:4" x14ac:dyDescent="0.25">
      <c r="C74" s="321"/>
      <c r="D74" s="321"/>
    </row>
    <row r="75" spans="2:4" x14ac:dyDescent="0.25">
      <c r="C75" s="321"/>
      <c r="D75" s="321"/>
    </row>
  </sheetData>
  <mergeCells count="34">
    <mergeCell ref="B25:C25"/>
    <mergeCell ref="B2:C2"/>
    <mergeCell ref="B10:C10"/>
    <mergeCell ref="B12:C12"/>
    <mergeCell ref="B14:C14"/>
    <mergeCell ref="B16:C16"/>
    <mergeCell ref="B17:C17"/>
    <mergeCell ref="B18:C18"/>
    <mergeCell ref="B19:C19"/>
    <mergeCell ref="B20:C20"/>
    <mergeCell ref="B22:C22"/>
    <mergeCell ref="B23:C23"/>
    <mergeCell ref="B58:C58"/>
    <mergeCell ref="B26:C26"/>
    <mergeCell ref="B34:C34"/>
    <mergeCell ref="B36:C36"/>
    <mergeCell ref="B38:C38"/>
    <mergeCell ref="B47:C47"/>
    <mergeCell ref="B48:C48"/>
    <mergeCell ref="B52:C52"/>
    <mergeCell ref="B53:C53"/>
    <mergeCell ref="B54:C54"/>
    <mergeCell ref="B56:C56"/>
    <mergeCell ref="B57:C57"/>
    <mergeCell ref="B67:C67"/>
    <mergeCell ref="B68:C68"/>
    <mergeCell ref="B69:C69"/>
    <mergeCell ref="B70:C70"/>
    <mergeCell ref="B59:C59"/>
    <mergeCell ref="B61:C61"/>
    <mergeCell ref="B62:C62"/>
    <mergeCell ref="B63:C63"/>
    <mergeCell ref="B64:C64"/>
    <mergeCell ref="B65:C6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workbookViewId="0">
      <selection activeCell="J8" sqref="J8"/>
    </sheetView>
  </sheetViews>
  <sheetFormatPr defaultRowHeight="15" x14ac:dyDescent="0.25"/>
  <cols>
    <col min="1" max="1" width="11.85546875" customWidth="1"/>
    <col min="2" max="2" width="86.140625" customWidth="1"/>
    <col min="4" max="4" width="28.5703125" customWidth="1"/>
    <col min="5" max="8" width="11.28515625" customWidth="1"/>
    <col min="9" max="11" width="20.140625" customWidth="1"/>
    <col min="12" max="12" width="10.7109375" customWidth="1"/>
    <col min="13" max="13" width="12.42578125" customWidth="1"/>
    <col min="14" max="14" width="10.140625" customWidth="1"/>
    <col min="15" max="15" width="9.42578125" customWidth="1"/>
    <col min="16" max="16" width="11.140625" customWidth="1"/>
    <col min="17" max="17" width="13" customWidth="1"/>
    <col min="18" max="18" width="10.85546875" customWidth="1"/>
    <col min="19" max="19" width="11.28515625" customWidth="1"/>
  </cols>
  <sheetData>
    <row r="1" spans="1:19" ht="21" x14ac:dyDescent="0.35">
      <c r="A1" s="333" t="s">
        <v>305</v>
      </c>
    </row>
    <row r="2" spans="1:19" ht="75" x14ac:dyDescent="0.25">
      <c r="A2" s="334" t="s">
        <v>306</v>
      </c>
      <c r="B2" s="334" t="s">
        <v>307</v>
      </c>
      <c r="C2" s="334" t="s">
        <v>308</v>
      </c>
      <c r="D2" s="334" t="s">
        <v>309</v>
      </c>
      <c r="E2" s="334" t="s">
        <v>310</v>
      </c>
      <c r="F2" s="334" t="s">
        <v>311</v>
      </c>
      <c r="G2" s="334" t="s">
        <v>355</v>
      </c>
      <c r="H2" s="334" t="s">
        <v>356</v>
      </c>
      <c r="I2" s="334" t="s">
        <v>312</v>
      </c>
      <c r="J2" s="334" t="s">
        <v>359</v>
      </c>
      <c r="K2" s="334" t="s">
        <v>360</v>
      </c>
      <c r="L2" s="334" t="s">
        <v>313</v>
      </c>
      <c r="M2" s="334" t="s">
        <v>314</v>
      </c>
      <c r="N2" s="334" t="s">
        <v>315</v>
      </c>
      <c r="O2" s="334" t="s">
        <v>316</v>
      </c>
      <c r="P2" s="334" t="s">
        <v>317</v>
      </c>
      <c r="Q2" s="334" t="s">
        <v>318</v>
      </c>
      <c r="R2" s="334" t="s">
        <v>319</v>
      </c>
      <c r="S2" s="334" t="s">
        <v>320</v>
      </c>
    </row>
    <row r="3" spans="1:19" x14ac:dyDescent="0.25">
      <c r="A3" s="335" t="s">
        <v>321</v>
      </c>
      <c r="B3" s="335" t="s">
        <v>322</v>
      </c>
      <c r="C3" s="336" t="s">
        <v>323</v>
      </c>
      <c r="D3" s="335" t="s">
        <v>324</v>
      </c>
      <c r="E3" s="335">
        <v>263</v>
      </c>
      <c r="F3" s="337">
        <f>E3/$E$36</f>
        <v>4.2039641943734017E-2</v>
      </c>
      <c r="G3" s="338">
        <f>F3*$G$36</f>
        <v>4.2039641943734019</v>
      </c>
      <c r="H3" s="338">
        <f>$G$37*F3</f>
        <v>4.2039641943734019</v>
      </c>
      <c r="I3" s="339">
        <v>26412.93</v>
      </c>
      <c r="J3" s="339">
        <f>G3*I3</f>
        <v>111039.01198849105</v>
      </c>
      <c r="K3" s="339">
        <f>I3*H3</f>
        <v>111039.01198849105</v>
      </c>
      <c r="L3" s="340">
        <v>25548.959999999999</v>
      </c>
      <c r="M3" s="340">
        <v>426.47</v>
      </c>
      <c r="N3" s="340">
        <v>13710.22</v>
      </c>
      <c r="O3" s="340">
        <v>19889.37</v>
      </c>
      <c r="P3" s="340">
        <v>29031.75</v>
      </c>
      <c r="Q3" s="340">
        <v>200000</v>
      </c>
      <c r="R3" s="341">
        <f t="shared" ref="R3:R35" si="0">IFERROR(L3/I3,"")</f>
        <v>0.96728988415900841</v>
      </c>
      <c r="S3" s="341">
        <v>0.73866763120191037</v>
      </c>
    </row>
    <row r="4" spans="1:19" x14ac:dyDescent="0.25">
      <c r="A4" s="335" t="s">
        <v>321</v>
      </c>
      <c r="B4" s="335" t="s">
        <v>322</v>
      </c>
      <c r="C4" s="336" t="s">
        <v>325</v>
      </c>
      <c r="D4" s="335" t="s">
        <v>326</v>
      </c>
      <c r="E4" s="335">
        <v>205</v>
      </c>
      <c r="F4" s="337">
        <f t="shared" ref="F4:F35" si="1">E4/$E$36</f>
        <v>3.2768542199488493E-2</v>
      </c>
      <c r="G4" s="338">
        <f t="shared" ref="G4:G35" si="2">F4*$G$36</f>
        <v>3.2768542199488495</v>
      </c>
      <c r="H4" s="338">
        <f t="shared" ref="H4:H35" si="3">$G$37*F4</f>
        <v>3.2768542199488495</v>
      </c>
      <c r="I4" s="339">
        <v>14016.91</v>
      </c>
      <c r="J4" s="339">
        <f>G4*I4</f>
        <v>45931.370684143229</v>
      </c>
      <c r="K4" s="339">
        <f>I4*H4</f>
        <v>45931.370684143229</v>
      </c>
      <c r="L4" s="340">
        <v>18098.95</v>
      </c>
      <c r="M4" s="340">
        <v>90.3</v>
      </c>
      <c r="N4" s="340">
        <v>3609.01</v>
      </c>
      <c r="O4" s="340">
        <v>8092.27</v>
      </c>
      <c r="P4" s="340">
        <v>18699.560000000001</v>
      </c>
      <c r="Q4" s="340">
        <v>150000</v>
      </c>
      <c r="R4" s="341">
        <f t="shared" si="0"/>
        <v>1.2912225305006597</v>
      </c>
      <c r="S4" s="341">
        <v>0.78778239022318508</v>
      </c>
    </row>
    <row r="5" spans="1:19" x14ac:dyDescent="0.25">
      <c r="A5" s="335" t="s">
        <v>327</v>
      </c>
      <c r="B5" s="335" t="s">
        <v>328</v>
      </c>
      <c r="C5" s="336" t="s">
        <v>323</v>
      </c>
      <c r="D5" s="335" t="s">
        <v>324</v>
      </c>
      <c r="E5" s="335">
        <v>281</v>
      </c>
      <c r="F5" s="337">
        <f t="shared" si="1"/>
        <v>4.4916879795396422E-2</v>
      </c>
      <c r="G5" s="338">
        <f t="shared" si="2"/>
        <v>4.4916879795396421</v>
      </c>
      <c r="H5" s="338">
        <f t="shared" si="3"/>
        <v>4.4916879795396421</v>
      </c>
      <c r="I5" s="339">
        <v>16344.69</v>
      </c>
      <c r="J5" s="339">
        <f>G5*I5</f>
        <v>73415.247602301795</v>
      </c>
      <c r="K5" s="339">
        <f>I5*H5</f>
        <v>73415.247602301795</v>
      </c>
      <c r="L5" s="340">
        <v>8232.02</v>
      </c>
      <c r="M5" s="340">
        <v>189.88</v>
      </c>
      <c r="N5" s="340">
        <v>10475.43</v>
      </c>
      <c r="O5" s="340">
        <v>14914.67</v>
      </c>
      <c r="P5" s="340">
        <v>21066.97</v>
      </c>
      <c r="Q5" s="340">
        <v>43773.56</v>
      </c>
      <c r="R5" s="341">
        <f t="shared" si="0"/>
        <v>0.50365103284308244</v>
      </c>
      <c r="S5" s="341">
        <v>0.40995949862669917</v>
      </c>
    </row>
    <row r="6" spans="1:19" x14ac:dyDescent="0.25">
      <c r="A6" s="335" t="s">
        <v>327</v>
      </c>
      <c r="B6" s="335" t="s">
        <v>328</v>
      </c>
      <c r="C6" s="336" t="s">
        <v>325</v>
      </c>
      <c r="D6" s="335" t="s">
        <v>326</v>
      </c>
      <c r="E6" s="335">
        <v>106</v>
      </c>
      <c r="F6" s="337">
        <f t="shared" si="1"/>
        <v>1.6943734015345269E-2</v>
      </c>
      <c r="G6" s="338">
        <f t="shared" si="2"/>
        <v>1.6943734015345269</v>
      </c>
      <c r="H6" s="338">
        <f t="shared" si="3"/>
        <v>1.6943734015345269</v>
      </c>
      <c r="I6" s="339">
        <v>9799.15</v>
      </c>
      <c r="J6" s="339">
        <f>G6*I6</f>
        <v>16603.419117647059</v>
      </c>
      <c r="K6" s="339">
        <f>I6*H6</f>
        <v>16603.419117647059</v>
      </c>
      <c r="L6" s="340">
        <v>10213.85</v>
      </c>
      <c r="M6" s="340">
        <v>335.25</v>
      </c>
      <c r="N6" s="340">
        <v>3303.97</v>
      </c>
      <c r="O6" s="340">
        <v>6489.27</v>
      </c>
      <c r="P6" s="340">
        <v>12941.7</v>
      </c>
      <c r="Q6" s="340">
        <v>55636.46</v>
      </c>
      <c r="R6" s="341">
        <f t="shared" si="0"/>
        <v>1.0423199971426094</v>
      </c>
      <c r="S6" s="341">
        <v>0.60855951813328246</v>
      </c>
    </row>
    <row r="7" spans="1:19" x14ac:dyDescent="0.25">
      <c r="A7" s="335" t="s">
        <v>329</v>
      </c>
      <c r="B7" s="335" t="s">
        <v>330</v>
      </c>
      <c r="C7" s="336" t="s">
        <v>323</v>
      </c>
      <c r="D7" s="335" t="s">
        <v>324</v>
      </c>
      <c r="E7" s="335">
        <v>509</v>
      </c>
      <c r="F7" s="337">
        <f t="shared" si="1"/>
        <v>8.136189258312021E-2</v>
      </c>
      <c r="G7" s="338">
        <f t="shared" si="2"/>
        <v>8.1361892583120206</v>
      </c>
      <c r="H7" s="338">
        <f t="shared" si="3"/>
        <v>8.1361892583120206</v>
      </c>
      <c r="I7" s="339">
        <v>13681.54</v>
      </c>
      <c r="J7" s="339">
        <f>G7*I7</f>
        <v>111315.59878516625</v>
      </c>
      <c r="K7" s="339">
        <f>I7*H7</f>
        <v>111315.59878516625</v>
      </c>
      <c r="L7" s="340">
        <v>7911.94</v>
      </c>
      <c r="M7" s="340">
        <v>0</v>
      </c>
      <c r="N7" s="340">
        <v>9654.81</v>
      </c>
      <c r="O7" s="340">
        <v>12275.36</v>
      </c>
      <c r="P7" s="340">
        <v>16626.71</v>
      </c>
      <c r="Q7" s="340">
        <v>81435.58</v>
      </c>
      <c r="R7" s="341">
        <f t="shared" si="0"/>
        <v>0.57829308688934133</v>
      </c>
      <c r="S7" s="341">
        <v>0.44384114906977851</v>
      </c>
    </row>
    <row r="8" spans="1:19" x14ac:dyDescent="0.25">
      <c r="A8" s="335" t="s">
        <v>329</v>
      </c>
      <c r="B8" s="335" t="s">
        <v>330</v>
      </c>
      <c r="C8" s="336" t="s">
        <v>325</v>
      </c>
      <c r="D8" s="335" t="s">
        <v>326</v>
      </c>
      <c r="E8" s="335">
        <v>119</v>
      </c>
      <c r="F8" s="337">
        <f t="shared" si="1"/>
        <v>1.9021739130434784E-2</v>
      </c>
      <c r="G8" s="338">
        <f t="shared" si="2"/>
        <v>1.9021739130434785</v>
      </c>
      <c r="H8" s="338">
        <f t="shared" si="3"/>
        <v>1.9021739130434785</v>
      </c>
      <c r="I8" s="339">
        <v>7802.41</v>
      </c>
      <c r="J8" s="339">
        <f>G8*I8</f>
        <v>14841.540760869566</v>
      </c>
      <c r="K8" s="339">
        <f>I8*H8</f>
        <v>14841.540760869566</v>
      </c>
      <c r="L8" s="340">
        <v>7613.36</v>
      </c>
      <c r="M8" s="340">
        <v>233.32</v>
      </c>
      <c r="N8" s="340">
        <v>2878.18</v>
      </c>
      <c r="O8" s="340">
        <v>5220.78</v>
      </c>
      <c r="P8" s="340">
        <v>10431.870000000001</v>
      </c>
      <c r="Q8" s="340">
        <v>47890.18</v>
      </c>
      <c r="R8" s="341">
        <f t="shared" si="0"/>
        <v>0.9757703068667245</v>
      </c>
      <c r="S8" s="341">
        <v>0.60494205155026304</v>
      </c>
    </row>
    <row r="9" spans="1:19" x14ac:dyDescent="0.25">
      <c r="A9" s="335" t="s">
        <v>329</v>
      </c>
      <c r="B9" s="335" t="s">
        <v>330</v>
      </c>
      <c r="C9" s="336" t="s">
        <v>331</v>
      </c>
      <c r="D9" s="335" t="s">
        <v>332</v>
      </c>
      <c r="E9" s="335">
        <v>3</v>
      </c>
      <c r="F9" s="337">
        <f t="shared" si="1"/>
        <v>4.7953964194373403E-4</v>
      </c>
      <c r="G9" s="338">
        <f t="shared" si="2"/>
        <v>4.7953964194373401E-2</v>
      </c>
      <c r="H9" s="338">
        <f t="shared" si="3"/>
        <v>4.7953964194373401E-2</v>
      </c>
      <c r="I9" s="339">
        <v>2880.75</v>
      </c>
      <c r="J9" s="339">
        <f>G9*I9</f>
        <v>138.14338235294119</v>
      </c>
      <c r="K9" s="339">
        <f>I9*H9</f>
        <v>138.14338235294119</v>
      </c>
      <c r="L9" s="340">
        <v>2700.74</v>
      </c>
      <c r="M9" s="340">
        <v>1239.3399999999999</v>
      </c>
      <c r="N9" s="340">
        <v>1239.3399999999999</v>
      </c>
      <c r="O9" s="340">
        <v>1405.09</v>
      </c>
      <c r="P9" s="340">
        <v>5997.83</v>
      </c>
      <c r="Q9" s="340">
        <v>5997.83</v>
      </c>
      <c r="R9" s="341">
        <f t="shared" si="0"/>
        <v>0.93751280048598451</v>
      </c>
      <c r="S9" s="341"/>
    </row>
    <row r="10" spans="1:19" x14ac:dyDescent="0.25">
      <c r="A10" s="335" t="s">
        <v>333</v>
      </c>
      <c r="B10" s="335" t="s">
        <v>334</v>
      </c>
      <c r="C10" s="336" t="s">
        <v>323</v>
      </c>
      <c r="D10" s="335" t="s">
        <v>324</v>
      </c>
      <c r="E10" s="335">
        <v>214</v>
      </c>
      <c r="F10" s="337">
        <f t="shared" si="1"/>
        <v>3.4207161125319692E-2</v>
      </c>
      <c r="G10" s="338">
        <f t="shared" si="2"/>
        <v>3.4207161125319692</v>
      </c>
      <c r="H10" s="338">
        <f t="shared" si="3"/>
        <v>3.4207161125319692</v>
      </c>
      <c r="I10" s="339">
        <v>20466.12</v>
      </c>
      <c r="J10" s="339">
        <f>G10*I10</f>
        <v>70008.786445012782</v>
      </c>
      <c r="K10" s="339">
        <f>I10*H10</f>
        <v>70008.786445012782</v>
      </c>
      <c r="L10" s="340">
        <v>26518.81</v>
      </c>
      <c r="M10" s="340">
        <v>311.12</v>
      </c>
      <c r="N10" s="340">
        <v>9968.2900000000009</v>
      </c>
      <c r="O10" s="340">
        <v>14642.74</v>
      </c>
      <c r="P10" s="340">
        <v>21100.09</v>
      </c>
      <c r="Q10" s="340">
        <v>220000</v>
      </c>
      <c r="R10" s="341">
        <f t="shared" si="0"/>
        <v>1.2957419383840221</v>
      </c>
      <c r="S10" s="341">
        <v>0.66629376381086369</v>
      </c>
    </row>
    <row r="11" spans="1:19" x14ac:dyDescent="0.25">
      <c r="A11" s="335" t="s">
        <v>333</v>
      </c>
      <c r="B11" s="335" t="s">
        <v>334</v>
      </c>
      <c r="C11" s="336" t="s">
        <v>325</v>
      </c>
      <c r="D11" s="335" t="s">
        <v>326</v>
      </c>
      <c r="E11" s="335">
        <v>27</v>
      </c>
      <c r="F11" s="337">
        <f t="shared" si="1"/>
        <v>4.3158567774936058E-3</v>
      </c>
      <c r="G11" s="338">
        <f t="shared" si="2"/>
        <v>0.43158567774936057</v>
      </c>
      <c r="H11" s="338">
        <f t="shared" si="3"/>
        <v>0.43158567774936057</v>
      </c>
      <c r="I11" s="339">
        <v>29737.54</v>
      </c>
      <c r="J11" s="339">
        <f>G11*I11</f>
        <v>12834.29635549872</v>
      </c>
      <c r="K11" s="339">
        <f>I11*H11</f>
        <v>12834.29635549872</v>
      </c>
      <c r="L11" s="340">
        <v>37071.96</v>
      </c>
      <c r="M11" s="340">
        <v>526.70000000000005</v>
      </c>
      <c r="N11" s="340">
        <v>11294.13</v>
      </c>
      <c r="O11" s="340">
        <v>16301.42</v>
      </c>
      <c r="P11" s="340">
        <v>33206.54</v>
      </c>
      <c r="Q11" s="340">
        <v>170000</v>
      </c>
      <c r="R11" s="341">
        <f t="shared" si="0"/>
        <v>1.2466384240256592</v>
      </c>
      <c r="S11" s="341">
        <v>0.63373772043604681</v>
      </c>
    </row>
    <row r="12" spans="1:19" x14ac:dyDescent="0.25">
      <c r="A12" s="335" t="s">
        <v>335</v>
      </c>
      <c r="B12" s="335" t="s">
        <v>336</v>
      </c>
      <c r="C12" s="336" t="s">
        <v>323</v>
      </c>
      <c r="D12" s="335" t="s">
        <v>324</v>
      </c>
      <c r="E12" s="335">
        <v>591</v>
      </c>
      <c r="F12" s="337">
        <f t="shared" si="1"/>
        <v>9.4469309462915596E-2</v>
      </c>
      <c r="G12" s="338">
        <f t="shared" si="2"/>
        <v>9.4469309462915589</v>
      </c>
      <c r="H12" s="338">
        <f t="shared" si="3"/>
        <v>9.4469309462915589</v>
      </c>
      <c r="I12" s="339">
        <v>11708.38</v>
      </c>
      <c r="J12" s="339">
        <f>G12*I12</f>
        <v>110608.25735294116</v>
      </c>
      <c r="K12" s="339">
        <f>I12*H12</f>
        <v>110608.25735294116</v>
      </c>
      <c r="L12" s="340">
        <v>5933.04</v>
      </c>
      <c r="M12" s="340">
        <v>-8012.56</v>
      </c>
      <c r="N12" s="340">
        <v>8461.1200000000008</v>
      </c>
      <c r="O12" s="340">
        <v>10940.5</v>
      </c>
      <c r="P12" s="340">
        <v>13960.25</v>
      </c>
      <c r="Q12" s="340">
        <v>62160.75</v>
      </c>
      <c r="R12" s="341">
        <f t="shared" si="0"/>
        <v>0.50673449273084747</v>
      </c>
      <c r="S12" s="341">
        <v>0.45291974518454375</v>
      </c>
    </row>
    <row r="13" spans="1:19" x14ac:dyDescent="0.25">
      <c r="A13" s="335" t="s">
        <v>335</v>
      </c>
      <c r="B13" s="335" t="s">
        <v>336</v>
      </c>
      <c r="C13" s="336" t="s">
        <v>325</v>
      </c>
      <c r="D13" s="335" t="s">
        <v>326</v>
      </c>
      <c r="E13" s="335">
        <v>21</v>
      </c>
      <c r="F13" s="337">
        <f t="shared" si="1"/>
        <v>3.3567774936061382E-3</v>
      </c>
      <c r="G13" s="338">
        <f t="shared" si="2"/>
        <v>0.33567774936061384</v>
      </c>
      <c r="H13" s="338">
        <f t="shared" si="3"/>
        <v>0.33567774936061384</v>
      </c>
      <c r="I13" s="339">
        <v>20357.73</v>
      </c>
      <c r="J13" s="339">
        <f>G13*I13</f>
        <v>6833.6369884910491</v>
      </c>
      <c r="K13" s="339">
        <f>I13*H13</f>
        <v>6833.6369884910491</v>
      </c>
      <c r="L13" s="340">
        <v>25053.09</v>
      </c>
      <c r="M13" s="340">
        <v>421.17</v>
      </c>
      <c r="N13" s="340">
        <v>7508.09</v>
      </c>
      <c r="O13" s="340">
        <v>15018.14</v>
      </c>
      <c r="P13" s="340">
        <v>21238.07</v>
      </c>
      <c r="Q13" s="340">
        <v>120000</v>
      </c>
      <c r="R13" s="341">
        <f t="shared" si="0"/>
        <v>1.2306426109394319</v>
      </c>
      <c r="S13" s="341">
        <v>0.73767747692208385</v>
      </c>
    </row>
    <row r="14" spans="1:19" x14ac:dyDescent="0.25">
      <c r="A14" s="335" t="s">
        <v>335</v>
      </c>
      <c r="B14" s="335" t="s">
        <v>336</v>
      </c>
      <c r="C14" s="336" t="s">
        <v>331</v>
      </c>
      <c r="D14" s="335" t="s">
        <v>332</v>
      </c>
      <c r="E14" s="335">
        <v>1</v>
      </c>
      <c r="F14" s="337">
        <f t="shared" si="1"/>
        <v>1.5984654731457802E-4</v>
      </c>
      <c r="G14" s="338">
        <f t="shared" si="2"/>
        <v>1.5984654731457801E-2</v>
      </c>
      <c r="H14" s="338">
        <f t="shared" si="3"/>
        <v>1.5984654731457801E-2</v>
      </c>
      <c r="I14" s="339">
        <v>1441.72</v>
      </c>
      <c r="J14" s="339">
        <f>G14*I14</f>
        <v>23.045396419437342</v>
      </c>
      <c r="K14" s="339">
        <f>I14*H14</f>
        <v>23.045396419437342</v>
      </c>
      <c r="L14" s="340" t="s">
        <v>337</v>
      </c>
      <c r="M14" s="340">
        <v>1441.72</v>
      </c>
      <c r="N14" s="340">
        <v>1441.72</v>
      </c>
      <c r="O14" s="340">
        <v>1441.72</v>
      </c>
      <c r="P14" s="340">
        <v>1441.72</v>
      </c>
      <c r="Q14" s="340">
        <v>1441.72</v>
      </c>
      <c r="R14" s="341" t="str">
        <f t="shared" si="0"/>
        <v/>
      </c>
      <c r="S14" s="341"/>
    </row>
    <row r="15" spans="1:19" x14ac:dyDescent="0.25">
      <c r="A15" s="335" t="s">
        <v>338</v>
      </c>
      <c r="B15" s="335" t="s">
        <v>339</v>
      </c>
      <c r="C15" s="336" t="s">
        <v>323</v>
      </c>
      <c r="D15" s="335" t="s">
        <v>324</v>
      </c>
      <c r="E15" s="335">
        <v>297</v>
      </c>
      <c r="F15" s="337">
        <f t="shared" si="1"/>
        <v>4.7474424552429666E-2</v>
      </c>
      <c r="G15" s="338">
        <f t="shared" si="2"/>
        <v>4.7474424552429664</v>
      </c>
      <c r="H15" s="338">
        <f t="shared" si="3"/>
        <v>4.7474424552429664</v>
      </c>
      <c r="I15" s="339">
        <v>12596.69</v>
      </c>
      <c r="J15" s="339">
        <f>G15*I15</f>
        <v>59802.060901534525</v>
      </c>
      <c r="K15" s="339">
        <f>I15*H15</f>
        <v>59802.060901534525</v>
      </c>
      <c r="L15" s="340">
        <v>13099.34</v>
      </c>
      <c r="M15" s="340">
        <v>87.06</v>
      </c>
      <c r="N15" s="340">
        <v>7001.54</v>
      </c>
      <c r="O15" s="340">
        <v>9340.25</v>
      </c>
      <c r="P15" s="340">
        <v>13638.68</v>
      </c>
      <c r="Q15" s="340">
        <v>140000</v>
      </c>
      <c r="R15" s="341">
        <f t="shared" si="0"/>
        <v>1.0399033396868542</v>
      </c>
      <c r="S15" s="341">
        <v>0.55242302614470074</v>
      </c>
    </row>
    <row r="16" spans="1:19" x14ac:dyDescent="0.25">
      <c r="A16" s="335" t="s">
        <v>338</v>
      </c>
      <c r="B16" s="335" t="s">
        <v>339</v>
      </c>
      <c r="C16" s="336" t="s">
        <v>325</v>
      </c>
      <c r="D16" s="335" t="s">
        <v>326</v>
      </c>
      <c r="E16" s="335">
        <v>92</v>
      </c>
      <c r="F16" s="337">
        <f t="shared" si="1"/>
        <v>1.4705882352941176E-2</v>
      </c>
      <c r="G16" s="338">
        <f t="shared" si="2"/>
        <v>1.4705882352941175</v>
      </c>
      <c r="H16" s="338">
        <f t="shared" si="3"/>
        <v>1.4705882352941175</v>
      </c>
      <c r="I16" s="339">
        <v>14659.82</v>
      </c>
      <c r="J16" s="339">
        <f>G16*I16</f>
        <v>21558.558823529409</v>
      </c>
      <c r="K16" s="339">
        <f>I16*H16</f>
        <v>21558.558823529409</v>
      </c>
      <c r="L16" s="340">
        <v>19049.240000000002</v>
      </c>
      <c r="M16" s="340">
        <v>125.12</v>
      </c>
      <c r="N16" s="340">
        <v>4355.6499999999996</v>
      </c>
      <c r="O16" s="340">
        <v>8621.4500000000007</v>
      </c>
      <c r="P16" s="340">
        <v>16216.93</v>
      </c>
      <c r="Q16" s="340">
        <v>150000</v>
      </c>
      <c r="R16" s="341">
        <f t="shared" si="0"/>
        <v>1.2994184103215456</v>
      </c>
      <c r="S16" s="341">
        <v>0.68264151657341932</v>
      </c>
    </row>
    <row r="17" spans="1:19" x14ac:dyDescent="0.25">
      <c r="A17" s="335" t="s">
        <v>338</v>
      </c>
      <c r="B17" s="335" t="s">
        <v>339</v>
      </c>
      <c r="C17" s="336" t="s">
        <v>331</v>
      </c>
      <c r="D17" s="335" t="s">
        <v>332</v>
      </c>
      <c r="E17" s="335">
        <v>2</v>
      </c>
      <c r="F17" s="337">
        <f t="shared" si="1"/>
        <v>3.1969309462915604E-4</v>
      </c>
      <c r="G17" s="338">
        <f t="shared" si="2"/>
        <v>3.1969309462915603E-2</v>
      </c>
      <c r="H17" s="338">
        <f t="shared" si="3"/>
        <v>3.1969309462915603E-2</v>
      </c>
      <c r="I17" s="339">
        <v>768.99</v>
      </c>
      <c r="J17" s="339">
        <f>G17*I17</f>
        <v>24.584079283887469</v>
      </c>
      <c r="K17" s="339">
        <f>I17*H17</f>
        <v>24.584079283887469</v>
      </c>
      <c r="L17" s="340">
        <v>814.09</v>
      </c>
      <c r="M17" s="340">
        <v>193.34</v>
      </c>
      <c r="N17" s="340">
        <v>193.34</v>
      </c>
      <c r="O17" s="340">
        <v>768.99</v>
      </c>
      <c r="P17" s="340">
        <v>1344.64</v>
      </c>
      <c r="Q17" s="340">
        <v>1344.64</v>
      </c>
      <c r="R17" s="341">
        <f t="shared" si="0"/>
        <v>1.058648356935721</v>
      </c>
      <c r="S17" s="341"/>
    </row>
    <row r="18" spans="1:19" x14ac:dyDescent="0.25">
      <c r="A18" s="335" t="s">
        <v>340</v>
      </c>
      <c r="B18" s="335" t="s">
        <v>341</v>
      </c>
      <c r="C18" s="336" t="s">
        <v>323</v>
      </c>
      <c r="D18" s="335" t="s">
        <v>324</v>
      </c>
      <c r="E18" s="335">
        <v>946</v>
      </c>
      <c r="F18" s="337">
        <f t="shared" si="1"/>
        <v>0.1512148337595908</v>
      </c>
      <c r="G18" s="338">
        <f t="shared" si="2"/>
        <v>15.12148337595908</v>
      </c>
      <c r="H18" s="338">
        <f t="shared" si="3"/>
        <v>15.12148337595908</v>
      </c>
      <c r="I18" s="339">
        <v>8980.89</v>
      </c>
      <c r="J18" s="339">
        <f>G18*I18</f>
        <v>135804.37883631713</v>
      </c>
      <c r="K18" s="339">
        <f>I18*H18</f>
        <v>135804.37883631713</v>
      </c>
      <c r="L18" s="340">
        <v>4569.95</v>
      </c>
      <c r="M18" s="340">
        <v>34.619999999999997</v>
      </c>
      <c r="N18" s="340">
        <v>6130.22</v>
      </c>
      <c r="O18" s="340">
        <v>8374.9699999999993</v>
      </c>
      <c r="P18" s="340">
        <v>11063.66</v>
      </c>
      <c r="Q18" s="340">
        <v>34232.11</v>
      </c>
      <c r="R18" s="341">
        <f t="shared" si="0"/>
        <v>0.50885268609235834</v>
      </c>
      <c r="S18" s="341">
        <v>0.45578475904396587</v>
      </c>
    </row>
    <row r="19" spans="1:19" x14ac:dyDescent="0.25">
      <c r="A19" s="335" t="s">
        <v>340</v>
      </c>
      <c r="B19" s="335" t="s">
        <v>341</v>
      </c>
      <c r="C19" s="336" t="s">
        <v>325</v>
      </c>
      <c r="D19" s="335" t="s">
        <v>326</v>
      </c>
      <c r="E19" s="335">
        <v>102</v>
      </c>
      <c r="F19" s="337">
        <f t="shared" si="1"/>
        <v>1.6304347826086956E-2</v>
      </c>
      <c r="G19" s="338">
        <f t="shared" si="2"/>
        <v>1.6304347826086956</v>
      </c>
      <c r="H19" s="338">
        <f t="shared" si="3"/>
        <v>1.6304347826086956</v>
      </c>
      <c r="I19" s="339">
        <v>7700.46</v>
      </c>
      <c r="J19" s="339">
        <f>G19*I19</f>
        <v>12555.097826086956</v>
      </c>
      <c r="K19" s="339">
        <f>I19*H19</f>
        <v>12555.097826086956</v>
      </c>
      <c r="L19" s="340">
        <v>8831.08</v>
      </c>
      <c r="M19" s="340">
        <v>67.760000000000005</v>
      </c>
      <c r="N19" s="340">
        <v>3312.55</v>
      </c>
      <c r="O19" s="340">
        <v>5953.68</v>
      </c>
      <c r="P19" s="340">
        <v>9719.6</v>
      </c>
      <c r="Q19" s="340">
        <v>79376.789999999994</v>
      </c>
      <c r="R19" s="341">
        <f t="shared" si="0"/>
        <v>1.1468249948704363</v>
      </c>
      <c r="S19" s="341">
        <v>0.57714792280097194</v>
      </c>
    </row>
    <row r="20" spans="1:19" x14ac:dyDescent="0.25">
      <c r="A20" s="335" t="s">
        <v>340</v>
      </c>
      <c r="B20" s="335" t="s">
        <v>341</v>
      </c>
      <c r="C20" s="336" t="s">
        <v>331</v>
      </c>
      <c r="D20" s="335" t="s">
        <v>332</v>
      </c>
      <c r="E20" s="335">
        <v>40</v>
      </c>
      <c r="F20" s="337">
        <f t="shared" si="1"/>
        <v>6.3938618925831201E-3</v>
      </c>
      <c r="G20" s="338">
        <f t="shared" si="2"/>
        <v>0.63938618925831203</v>
      </c>
      <c r="H20" s="338">
        <f t="shared" si="3"/>
        <v>0.63938618925831203</v>
      </c>
      <c r="I20" s="339">
        <v>905.68</v>
      </c>
      <c r="J20" s="339">
        <f>G20*I20</f>
        <v>579.07928388746802</v>
      </c>
      <c r="K20" s="339">
        <f>I20*H20</f>
        <v>579.07928388746802</v>
      </c>
      <c r="L20" s="340">
        <v>752.74</v>
      </c>
      <c r="M20" s="340">
        <v>22.83</v>
      </c>
      <c r="N20" s="340">
        <v>347.66</v>
      </c>
      <c r="O20" s="340">
        <v>823.72</v>
      </c>
      <c r="P20" s="340">
        <v>1127.96</v>
      </c>
      <c r="Q20" s="340">
        <v>3577.14</v>
      </c>
      <c r="R20" s="341">
        <f t="shared" si="0"/>
        <v>0.83113240879780947</v>
      </c>
      <c r="S20" s="341">
        <v>0.39124002934879498</v>
      </c>
    </row>
    <row r="21" spans="1:19" x14ac:dyDescent="0.25">
      <c r="A21" s="335" t="s">
        <v>342</v>
      </c>
      <c r="B21" s="335" t="s">
        <v>343</v>
      </c>
      <c r="C21" s="336" t="s">
        <v>323</v>
      </c>
      <c r="D21" s="335" t="s">
        <v>324</v>
      </c>
      <c r="E21" s="335">
        <v>164</v>
      </c>
      <c r="F21" s="337">
        <f t="shared" si="1"/>
        <v>2.6214833759590793E-2</v>
      </c>
      <c r="G21" s="338">
        <f t="shared" si="2"/>
        <v>2.6214833759590794</v>
      </c>
      <c r="H21" s="338">
        <f t="shared" si="3"/>
        <v>2.6214833759590794</v>
      </c>
      <c r="I21" s="339">
        <v>9406.51</v>
      </c>
      <c r="J21" s="339">
        <f>G21*I21</f>
        <v>24659.009590792841</v>
      </c>
      <c r="K21" s="339">
        <f>I21*H21</f>
        <v>24659.009590792841</v>
      </c>
      <c r="L21" s="340">
        <v>8676.89</v>
      </c>
      <c r="M21" s="340">
        <v>127.34</v>
      </c>
      <c r="N21" s="340">
        <v>4382.74</v>
      </c>
      <c r="O21" s="340">
        <v>7369.78</v>
      </c>
      <c r="P21" s="340">
        <v>11439.25</v>
      </c>
      <c r="Q21" s="340">
        <v>52868.1</v>
      </c>
      <c r="R21" s="341">
        <f t="shared" si="0"/>
        <v>0.92243456925044454</v>
      </c>
      <c r="S21" s="341">
        <v>0.62586068267043471</v>
      </c>
    </row>
    <row r="22" spans="1:19" x14ac:dyDescent="0.25">
      <c r="A22" s="335" t="s">
        <v>342</v>
      </c>
      <c r="B22" s="335" t="s">
        <v>343</v>
      </c>
      <c r="C22" s="336" t="s">
        <v>325</v>
      </c>
      <c r="D22" s="335" t="s">
        <v>326</v>
      </c>
      <c r="E22" s="335">
        <v>101</v>
      </c>
      <c r="F22" s="337">
        <f t="shared" si="1"/>
        <v>1.6144501278772379E-2</v>
      </c>
      <c r="G22" s="338">
        <f t="shared" si="2"/>
        <v>1.6144501278772379</v>
      </c>
      <c r="H22" s="338">
        <f t="shared" si="3"/>
        <v>1.6144501278772379</v>
      </c>
      <c r="I22" s="339">
        <v>11436.16</v>
      </c>
      <c r="J22" s="339">
        <f>G22*I22</f>
        <v>18463.109974424551</v>
      </c>
      <c r="K22" s="339">
        <f>I22*H22</f>
        <v>18463.109974424551</v>
      </c>
      <c r="L22" s="340">
        <v>15397.13</v>
      </c>
      <c r="M22" s="340">
        <v>146.84</v>
      </c>
      <c r="N22" s="340">
        <v>3270.89</v>
      </c>
      <c r="O22" s="340">
        <v>7813.55</v>
      </c>
      <c r="P22" s="340">
        <v>12771.87</v>
      </c>
      <c r="Q22" s="340">
        <v>120000</v>
      </c>
      <c r="R22" s="341">
        <f t="shared" si="0"/>
        <v>1.3463548953494879</v>
      </c>
      <c r="S22" s="341">
        <v>0.7572786252875835</v>
      </c>
    </row>
    <row r="23" spans="1:19" x14ac:dyDescent="0.25">
      <c r="A23" s="335" t="s">
        <v>342</v>
      </c>
      <c r="B23" s="335" t="s">
        <v>343</v>
      </c>
      <c r="C23" s="336" t="s">
        <v>331</v>
      </c>
      <c r="D23" s="335" t="s">
        <v>332</v>
      </c>
      <c r="E23" s="335">
        <v>18</v>
      </c>
      <c r="F23" s="337">
        <f t="shared" si="1"/>
        <v>2.8772378516624042E-3</v>
      </c>
      <c r="G23" s="338">
        <f t="shared" si="2"/>
        <v>0.28772378516624042</v>
      </c>
      <c r="H23" s="338">
        <f t="shared" si="3"/>
        <v>0.28772378516624042</v>
      </c>
      <c r="I23" s="339">
        <v>1152.27</v>
      </c>
      <c r="J23" s="339">
        <f>G23*I23</f>
        <v>331.53548593350382</v>
      </c>
      <c r="K23" s="339">
        <f>I23*H23</f>
        <v>331.53548593350382</v>
      </c>
      <c r="L23" s="340">
        <v>1327.97</v>
      </c>
      <c r="M23" s="340">
        <v>254.41</v>
      </c>
      <c r="N23" s="340">
        <v>613.52</v>
      </c>
      <c r="O23" s="340">
        <v>767.74</v>
      </c>
      <c r="P23" s="340">
        <v>1030.01</v>
      </c>
      <c r="Q23" s="340">
        <v>5696.33</v>
      </c>
      <c r="R23" s="341">
        <f t="shared" si="0"/>
        <v>1.1524816232306665</v>
      </c>
      <c r="S23" s="341">
        <v>0.34676908881274582</v>
      </c>
    </row>
    <row r="24" spans="1:19" x14ac:dyDescent="0.25">
      <c r="A24" s="335" t="s">
        <v>344</v>
      </c>
      <c r="B24" s="335" t="s">
        <v>345</v>
      </c>
      <c r="C24" s="336" t="s">
        <v>323</v>
      </c>
      <c r="D24" s="335" t="s">
        <v>324</v>
      </c>
      <c r="E24" s="335">
        <v>257</v>
      </c>
      <c r="F24" s="337">
        <f t="shared" si="1"/>
        <v>4.1080562659846546E-2</v>
      </c>
      <c r="G24" s="338">
        <f t="shared" si="2"/>
        <v>4.1080562659846542</v>
      </c>
      <c r="H24" s="338">
        <f t="shared" si="3"/>
        <v>4.1080562659846542</v>
      </c>
      <c r="I24" s="339">
        <v>6037.03</v>
      </c>
      <c r="J24" s="339">
        <f>G24*I24</f>
        <v>24800.458919437337</v>
      </c>
      <c r="K24" s="339">
        <f>I24*H24</f>
        <v>24800.458919437337</v>
      </c>
      <c r="L24" s="340">
        <v>4619.21</v>
      </c>
      <c r="M24" s="340">
        <v>109.89</v>
      </c>
      <c r="N24" s="340">
        <v>2390.52</v>
      </c>
      <c r="O24" s="340">
        <v>5171.9799999999996</v>
      </c>
      <c r="P24" s="340">
        <v>8554.98</v>
      </c>
      <c r="Q24" s="340">
        <v>26259.35</v>
      </c>
      <c r="R24" s="341">
        <f t="shared" si="0"/>
        <v>0.7651461066120262</v>
      </c>
      <c r="S24" s="341">
        <v>0.55406533720918627</v>
      </c>
    </row>
    <row r="25" spans="1:19" x14ac:dyDescent="0.25">
      <c r="A25" s="335" t="s">
        <v>344</v>
      </c>
      <c r="B25" s="335" t="s">
        <v>345</v>
      </c>
      <c r="C25" s="336" t="s">
        <v>325</v>
      </c>
      <c r="D25" s="335" t="s">
        <v>326</v>
      </c>
      <c r="E25" s="335">
        <v>67</v>
      </c>
      <c r="F25" s="337">
        <f t="shared" si="1"/>
        <v>1.0709718670076727E-2</v>
      </c>
      <c r="G25" s="338">
        <f t="shared" si="2"/>
        <v>1.0709718670076727</v>
      </c>
      <c r="H25" s="338">
        <f t="shared" si="3"/>
        <v>1.0709718670076727</v>
      </c>
      <c r="I25" s="339">
        <v>6709.26</v>
      </c>
      <c r="J25" s="339">
        <f>G25*I25</f>
        <v>7185.4287084398984</v>
      </c>
      <c r="K25" s="339">
        <f>I25*H25</f>
        <v>7185.4287084398984</v>
      </c>
      <c r="L25" s="340">
        <v>6387.72</v>
      </c>
      <c r="M25" s="340">
        <v>107.45</v>
      </c>
      <c r="N25" s="340">
        <v>2169.81</v>
      </c>
      <c r="O25" s="340">
        <v>4841.41</v>
      </c>
      <c r="P25" s="340">
        <v>9055.36</v>
      </c>
      <c r="Q25" s="340">
        <v>40610.46</v>
      </c>
      <c r="R25" s="341">
        <f t="shared" si="0"/>
        <v>0.95207519160086207</v>
      </c>
      <c r="S25" s="341">
        <v>0.57571414283099853</v>
      </c>
    </row>
    <row r="26" spans="1:19" x14ac:dyDescent="0.25">
      <c r="A26" s="335" t="s">
        <v>344</v>
      </c>
      <c r="B26" s="335" t="s">
        <v>345</v>
      </c>
      <c r="C26" s="336" t="s">
        <v>331</v>
      </c>
      <c r="D26" s="335" t="s">
        <v>332</v>
      </c>
      <c r="E26" s="335">
        <v>95</v>
      </c>
      <c r="F26" s="337">
        <f t="shared" si="1"/>
        <v>1.518542199488491E-2</v>
      </c>
      <c r="G26" s="338">
        <f t="shared" si="2"/>
        <v>1.5185421994884909</v>
      </c>
      <c r="H26" s="338">
        <f t="shared" si="3"/>
        <v>1.5185421994884909</v>
      </c>
      <c r="I26" s="339">
        <v>918.86</v>
      </c>
      <c r="J26" s="339">
        <f>G26*I26</f>
        <v>1395.3276854219948</v>
      </c>
      <c r="K26" s="339">
        <f>I26*H26</f>
        <v>1395.3276854219948</v>
      </c>
      <c r="L26" s="340">
        <v>816.84</v>
      </c>
      <c r="M26" s="340">
        <v>138.47999999999999</v>
      </c>
      <c r="N26" s="340">
        <v>508.47</v>
      </c>
      <c r="O26" s="340">
        <v>615.73</v>
      </c>
      <c r="P26" s="340">
        <v>1079.3</v>
      </c>
      <c r="Q26" s="340">
        <v>4180.8999999999996</v>
      </c>
      <c r="R26" s="341">
        <f t="shared" si="0"/>
        <v>0.88897111638334458</v>
      </c>
      <c r="S26" s="341">
        <v>0.44870017486772062</v>
      </c>
    </row>
    <row r="27" spans="1:19" x14ac:dyDescent="0.25">
      <c r="A27" s="335" t="s">
        <v>346</v>
      </c>
      <c r="B27" s="335" t="s">
        <v>347</v>
      </c>
      <c r="C27" s="336" t="s">
        <v>323</v>
      </c>
      <c r="D27" s="335" t="s">
        <v>324</v>
      </c>
      <c r="E27" s="335">
        <v>175</v>
      </c>
      <c r="F27" s="337">
        <f t="shared" si="1"/>
        <v>2.797314578005115E-2</v>
      </c>
      <c r="G27" s="338">
        <f t="shared" si="2"/>
        <v>2.797314578005115</v>
      </c>
      <c r="H27" s="338">
        <f t="shared" si="3"/>
        <v>2.797314578005115</v>
      </c>
      <c r="I27" s="339">
        <v>7072.12</v>
      </c>
      <c r="J27" s="339">
        <f>G27*I27</f>
        <v>19782.944373401533</v>
      </c>
      <c r="K27" s="339">
        <f>I27*H27</f>
        <v>19782.944373401533</v>
      </c>
      <c r="L27" s="340">
        <v>7601.13</v>
      </c>
      <c r="M27" s="340">
        <v>10.84</v>
      </c>
      <c r="N27" s="340">
        <v>3529.92</v>
      </c>
      <c r="O27" s="340">
        <v>5592.84</v>
      </c>
      <c r="P27" s="340">
        <v>8459.2199999999993</v>
      </c>
      <c r="Q27" s="340">
        <v>73871.100000000006</v>
      </c>
      <c r="R27" s="341">
        <f t="shared" si="0"/>
        <v>1.074802180958468</v>
      </c>
      <c r="S27" s="341">
        <v>0.61942555105708197</v>
      </c>
    </row>
    <row r="28" spans="1:19" x14ac:dyDescent="0.25">
      <c r="A28" s="335" t="s">
        <v>346</v>
      </c>
      <c r="B28" s="335" t="s">
        <v>347</v>
      </c>
      <c r="C28" s="336" t="s">
        <v>325</v>
      </c>
      <c r="D28" s="335" t="s">
        <v>326</v>
      </c>
      <c r="E28" s="335">
        <v>185</v>
      </c>
      <c r="F28" s="337">
        <f t="shared" si="1"/>
        <v>2.957161125319693E-2</v>
      </c>
      <c r="G28" s="338">
        <f t="shared" si="2"/>
        <v>2.957161125319693</v>
      </c>
      <c r="H28" s="338">
        <f t="shared" si="3"/>
        <v>2.957161125319693</v>
      </c>
      <c r="I28" s="339">
        <v>10177.36</v>
      </c>
      <c r="J28" s="339">
        <f>G28*I28</f>
        <v>30096.093350383631</v>
      </c>
      <c r="K28" s="339">
        <f>I28*H28</f>
        <v>30096.093350383631</v>
      </c>
      <c r="L28" s="340">
        <v>16838.12</v>
      </c>
      <c r="M28" s="340">
        <v>41.84</v>
      </c>
      <c r="N28" s="340">
        <v>3059.68</v>
      </c>
      <c r="O28" s="340">
        <v>6002.79</v>
      </c>
      <c r="P28" s="340">
        <v>10700.32</v>
      </c>
      <c r="Q28" s="340">
        <v>170000</v>
      </c>
      <c r="R28" s="341">
        <f t="shared" si="0"/>
        <v>1.654468349355825</v>
      </c>
      <c r="S28" s="341">
        <v>0.70185872147469874</v>
      </c>
    </row>
    <row r="29" spans="1:19" x14ac:dyDescent="0.25">
      <c r="A29" s="335" t="s">
        <v>346</v>
      </c>
      <c r="B29" s="335" t="s">
        <v>347</v>
      </c>
      <c r="C29" s="336" t="s">
        <v>331</v>
      </c>
      <c r="D29" s="335" t="s">
        <v>332</v>
      </c>
      <c r="E29" s="335">
        <v>11</v>
      </c>
      <c r="F29" s="337">
        <f t="shared" si="1"/>
        <v>1.758312020460358E-3</v>
      </c>
      <c r="G29" s="338">
        <f t="shared" si="2"/>
        <v>0.17583120204603581</v>
      </c>
      <c r="H29" s="338">
        <f t="shared" si="3"/>
        <v>0.17583120204603581</v>
      </c>
      <c r="I29" s="339">
        <v>1573.08</v>
      </c>
      <c r="J29" s="339">
        <f>G29*I29</f>
        <v>276.596547314578</v>
      </c>
      <c r="K29" s="339">
        <f>I29*H29</f>
        <v>276.596547314578</v>
      </c>
      <c r="L29" s="340">
        <v>1541.17</v>
      </c>
      <c r="M29" s="340">
        <v>254.41</v>
      </c>
      <c r="N29" s="340">
        <v>464.48</v>
      </c>
      <c r="O29" s="340">
        <v>836.07</v>
      </c>
      <c r="P29" s="340">
        <v>2578.1999999999998</v>
      </c>
      <c r="Q29" s="340">
        <v>5002.6499999999996</v>
      </c>
      <c r="R29" s="341">
        <f t="shared" si="0"/>
        <v>0.97971495410277931</v>
      </c>
      <c r="S29" s="341">
        <v>0.54843972400671248</v>
      </c>
    </row>
    <row r="30" spans="1:19" x14ac:dyDescent="0.25">
      <c r="A30" s="335" t="s">
        <v>348</v>
      </c>
      <c r="B30" s="335" t="s">
        <v>349</v>
      </c>
      <c r="C30" s="336" t="s">
        <v>323</v>
      </c>
      <c r="D30" s="335" t="s">
        <v>324</v>
      </c>
      <c r="E30" s="335">
        <v>389</v>
      </c>
      <c r="F30" s="337">
        <f t="shared" si="1"/>
        <v>6.2180306905370845E-2</v>
      </c>
      <c r="G30" s="338">
        <f t="shared" si="2"/>
        <v>6.2180306905370841</v>
      </c>
      <c r="H30" s="338">
        <f t="shared" si="3"/>
        <v>6.2180306905370841</v>
      </c>
      <c r="I30" s="339">
        <v>5937.55</v>
      </c>
      <c r="J30" s="339">
        <f>G30*I30</f>
        <v>36919.868126598463</v>
      </c>
      <c r="K30" s="339">
        <f>I30*H30</f>
        <v>36919.868126598463</v>
      </c>
      <c r="L30" s="340">
        <v>4967.7</v>
      </c>
      <c r="M30" s="340">
        <v>109.89</v>
      </c>
      <c r="N30" s="340">
        <v>2954.3</v>
      </c>
      <c r="O30" s="340">
        <v>4929.92</v>
      </c>
      <c r="P30" s="340">
        <v>7999.92</v>
      </c>
      <c r="Q30" s="340">
        <v>68709.08</v>
      </c>
      <c r="R30" s="341">
        <f t="shared" si="0"/>
        <v>0.83665821761500947</v>
      </c>
      <c r="S30" s="341">
        <v>0.55432997474641932</v>
      </c>
    </row>
    <row r="31" spans="1:19" x14ac:dyDescent="0.25">
      <c r="A31" s="335" t="s">
        <v>348</v>
      </c>
      <c r="B31" s="335" t="s">
        <v>349</v>
      </c>
      <c r="C31" s="336" t="s">
        <v>325</v>
      </c>
      <c r="D31" s="335" t="s">
        <v>326</v>
      </c>
      <c r="E31" s="335">
        <v>166</v>
      </c>
      <c r="F31" s="337">
        <f t="shared" si="1"/>
        <v>2.6534526854219948E-2</v>
      </c>
      <c r="G31" s="338">
        <f t="shared" si="2"/>
        <v>2.6534526854219949</v>
      </c>
      <c r="H31" s="338">
        <f t="shared" si="3"/>
        <v>2.6534526854219949</v>
      </c>
      <c r="I31" s="339">
        <v>5647.41</v>
      </c>
      <c r="J31" s="339">
        <f>G31*I31</f>
        <v>14985.135230179028</v>
      </c>
      <c r="K31" s="339">
        <f>I31*H31</f>
        <v>14985.135230179028</v>
      </c>
      <c r="L31" s="340">
        <v>3653.95</v>
      </c>
      <c r="M31" s="340">
        <v>77.180000000000007</v>
      </c>
      <c r="N31" s="340">
        <v>3008.64</v>
      </c>
      <c r="O31" s="340">
        <v>5157.24</v>
      </c>
      <c r="P31" s="340">
        <v>7686.84</v>
      </c>
      <c r="Q31" s="340">
        <v>19985.12</v>
      </c>
      <c r="R31" s="341">
        <f t="shared" si="0"/>
        <v>0.64701340968691845</v>
      </c>
      <c r="S31" s="341">
        <v>0.56390351123146698</v>
      </c>
    </row>
    <row r="32" spans="1:19" x14ac:dyDescent="0.25">
      <c r="A32" s="335" t="s">
        <v>348</v>
      </c>
      <c r="B32" s="335" t="s">
        <v>349</v>
      </c>
      <c r="C32" s="336" t="s">
        <v>331</v>
      </c>
      <c r="D32" s="335" t="s">
        <v>332</v>
      </c>
      <c r="E32" s="335">
        <v>50</v>
      </c>
      <c r="F32" s="337">
        <f t="shared" si="1"/>
        <v>7.9923273657289007E-3</v>
      </c>
      <c r="G32" s="338">
        <f t="shared" si="2"/>
        <v>0.79923273657289007</v>
      </c>
      <c r="H32" s="338">
        <f t="shared" si="3"/>
        <v>0.79923273657289007</v>
      </c>
      <c r="I32" s="339">
        <v>1264.8599999999999</v>
      </c>
      <c r="J32" s="339">
        <f>G32*I32</f>
        <v>1010.9175191815857</v>
      </c>
      <c r="K32" s="339">
        <f>I32*H32</f>
        <v>1010.9175191815857</v>
      </c>
      <c r="L32" s="340">
        <v>1101.8699999999999</v>
      </c>
      <c r="M32" s="340">
        <v>106.93</v>
      </c>
      <c r="N32" s="340">
        <v>536.70000000000005</v>
      </c>
      <c r="O32" s="340">
        <v>824.3</v>
      </c>
      <c r="P32" s="340">
        <v>1746.67</v>
      </c>
      <c r="Q32" s="340">
        <v>4923.24</v>
      </c>
      <c r="R32" s="341">
        <f t="shared" si="0"/>
        <v>0.87113988899957306</v>
      </c>
      <c r="S32" s="341">
        <v>0.4225654388454439</v>
      </c>
    </row>
    <row r="33" spans="1:19" x14ac:dyDescent="0.25">
      <c r="A33" s="335" t="s">
        <v>350</v>
      </c>
      <c r="B33" s="335" t="s">
        <v>351</v>
      </c>
      <c r="C33" s="336" t="s">
        <v>323</v>
      </c>
      <c r="D33" s="335" t="s">
        <v>324</v>
      </c>
      <c r="E33" s="335">
        <v>478</v>
      </c>
      <c r="F33" s="337">
        <f t="shared" si="1"/>
        <v>7.6406649616368283E-2</v>
      </c>
      <c r="G33" s="338">
        <f t="shared" si="2"/>
        <v>7.6406649616368281</v>
      </c>
      <c r="H33" s="338">
        <f t="shared" si="3"/>
        <v>7.6406649616368281</v>
      </c>
      <c r="I33" s="339">
        <v>4853.79</v>
      </c>
      <c r="J33" s="339">
        <f>G33*I33</f>
        <v>37086.183184143221</v>
      </c>
      <c r="K33" s="339">
        <f>I33*H33</f>
        <v>37086.183184143221</v>
      </c>
      <c r="L33" s="340">
        <v>3090.09</v>
      </c>
      <c r="M33" s="340">
        <v>60.77</v>
      </c>
      <c r="N33" s="340">
        <v>2802.26</v>
      </c>
      <c r="O33" s="340">
        <v>4141.6400000000003</v>
      </c>
      <c r="P33" s="340">
        <v>6040.45</v>
      </c>
      <c r="Q33" s="340">
        <v>19107.18</v>
      </c>
      <c r="R33" s="341">
        <f t="shared" si="0"/>
        <v>0.63663446502629906</v>
      </c>
      <c r="S33" s="341">
        <v>0.51014932484590125</v>
      </c>
    </row>
    <row r="34" spans="1:19" x14ac:dyDescent="0.25">
      <c r="A34" s="335" t="s">
        <v>350</v>
      </c>
      <c r="B34" s="335" t="s">
        <v>351</v>
      </c>
      <c r="C34" s="336" t="s">
        <v>325</v>
      </c>
      <c r="D34" s="335" t="s">
        <v>326</v>
      </c>
      <c r="E34" s="335">
        <v>153</v>
      </c>
      <c r="F34" s="337">
        <f t="shared" si="1"/>
        <v>2.4456521739130436E-2</v>
      </c>
      <c r="G34" s="338">
        <f t="shared" si="2"/>
        <v>2.4456521739130435</v>
      </c>
      <c r="H34" s="338">
        <f t="shared" si="3"/>
        <v>2.4456521739130435</v>
      </c>
      <c r="I34" s="339">
        <v>4843.2</v>
      </c>
      <c r="J34" s="339">
        <f>G34*I34</f>
        <v>11844.782608695652</v>
      </c>
      <c r="K34" s="339">
        <f>I34*H34</f>
        <v>11844.782608695652</v>
      </c>
      <c r="L34" s="340">
        <v>3506.06</v>
      </c>
      <c r="M34" s="340">
        <v>69.42</v>
      </c>
      <c r="N34" s="340">
        <v>2690.36</v>
      </c>
      <c r="O34" s="340">
        <v>4327.93</v>
      </c>
      <c r="P34" s="340">
        <v>6138.68</v>
      </c>
      <c r="Q34" s="340">
        <v>25655.06</v>
      </c>
      <c r="R34" s="341">
        <f t="shared" si="0"/>
        <v>0.72391394119590358</v>
      </c>
      <c r="S34" s="341">
        <v>0.53137513636951061</v>
      </c>
    </row>
    <row r="35" spans="1:19" ht="15.75" thickBot="1" x14ac:dyDescent="0.3">
      <c r="A35" s="335" t="s">
        <v>350</v>
      </c>
      <c r="B35" s="335" t="s">
        <v>351</v>
      </c>
      <c r="C35" s="336" t="s">
        <v>331</v>
      </c>
      <c r="D35" s="335" t="s">
        <v>332</v>
      </c>
      <c r="E35" s="335">
        <v>128</v>
      </c>
      <c r="F35" s="342">
        <f t="shared" si="1"/>
        <v>2.0460358056265986E-2</v>
      </c>
      <c r="G35" s="343">
        <f t="shared" si="2"/>
        <v>2.0460358056265986</v>
      </c>
      <c r="H35" s="338">
        <f t="shared" si="3"/>
        <v>2.0460358056265986</v>
      </c>
      <c r="I35" s="344">
        <v>1775.21</v>
      </c>
      <c r="J35" s="344">
        <f>G35*I35</f>
        <v>3632.1432225063941</v>
      </c>
      <c r="K35" s="339">
        <f>I35*H35</f>
        <v>3632.1432225063941</v>
      </c>
      <c r="L35" s="340">
        <v>1680.11</v>
      </c>
      <c r="M35" s="340">
        <v>76.459999999999994</v>
      </c>
      <c r="N35" s="340">
        <v>669.02</v>
      </c>
      <c r="O35" s="340">
        <v>1374.92</v>
      </c>
      <c r="P35" s="340">
        <v>2337.02</v>
      </c>
      <c r="Q35" s="340">
        <v>11920.72</v>
      </c>
      <c r="R35" s="341">
        <f t="shared" si="0"/>
        <v>0.94642887320373359</v>
      </c>
      <c r="S35" s="341">
        <v>0.55341948229283622</v>
      </c>
    </row>
    <row r="36" spans="1:19" ht="42.75" customHeight="1" thickBot="1" x14ac:dyDescent="0.3">
      <c r="E36">
        <f>SUM(E3:E35)</f>
        <v>6256</v>
      </c>
      <c r="F36" s="352" t="s">
        <v>354</v>
      </c>
      <c r="G36" s="348">
        <f>'Input sheet'!N12</f>
        <v>100</v>
      </c>
      <c r="H36" s="350"/>
      <c r="I36" s="353" t="s">
        <v>357</v>
      </c>
      <c r="J36" s="345">
        <f>SUM(J3:J35)</f>
        <v>1036385.649136829</v>
      </c>
      <c r="K36" s="351"/>
    </row>
    <row r="37" spans="1:19" ht="41.25" customHeight="1" thickBot="1" x14ac:dyDescent="0.3">
      <c r="F37" s="352" t="s">
        <v>352</v>
      </c>
      <c r="G37" s="349">
        <f>'Input sheet'!AD12</f>
        <v>100</v>
      </c>
      <c r="H37" s="350"/>
      <c r="I37" s="353" t="s">
        <v>358</v>
      </c>
      <c r="J37" s="345">
        <f>SUM(K3:K35)</f>
        <v>1036385.649136829</v>
      </c>
      <c r="K37" s="351"/>
    </row>
  </sheetData>
  <conditionalFormatting sqref="C3:C35">
    <cfRule type="dataBar" priority="1">
      <dataBar>
        <cfvo type="min"/>
        <cfvo type="max"/>
        <color rgb="FF638EC6"/>
      </dataBar>
      <extLst>
        <ext xmlns:x14="http://schemas.microsoft.com/office/spreadsheetml/2009/9/main" uri="{B025F937-C7B1-47D3-B67F-A62EFF666E3E}">
          <x14:id>{12CA0AE3-2184-4DDA-9353-2597AAEB83E8}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2CA0AE3-2184-4DDA-9353-2597AAEB83E8}">
            <x14:dataBar minLength="0" maxLength="100" gradient="0">
              <x14:cfvo type="autoMin"/>
              <x14:cfvo type="autoMax"/>
              <x14:negativeFillColor rgb="FFFF0000"/>
              <x14:axisColor rgb="FF000000"/>
            </x14:dataBar>
          </x14:cfRule>
          <xm:sqref>C3:C35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4"/>
  <sheetViews>
    <sheetView workbookViewId="0">
      <selection activeCell="E4" sqref="E4"/>
    </sheetView>
  </sheetViews>
  <sheetFormatPr defaultRowHeight="15" x14ac:dyDescent="0.25"/>
  <cols>
    <col min="2" max="2" width="20.140625" bestFit="1" customWidth="1"/>
    <col min="3" max="3" width="10.85546875" bestFit="1" customWidth="1"/>
    <col min="4" max="4" width="29.28515625" bestFit="1" customWidth="1"/>
    <col min="5" max="5" width="29.28515625" customWidth="1"/>
    <col min="6" max="6" width="31.85546875" customWidth="1"/>
    <col min="7" max="7" width="23.140625" bestFit="1" customWidth="1"/>
  </cols>
  <sheetData>
    <row r="2" spans="2:11" x14ac:dyDescent="0.25">
      <c r="D2" t="s">
        <v>256</v>
      </c>
      <c r="E2" t="s">
        <v>239</v>
      </c>
      <c r="F2" t="s">
        <v>240</v>
      </c>
      <c r="G2" t="s">
        <v>239</v>
      </c>
    </row>
    <row r="3" spans="2:11" x14ac:dyDescent="0.25">
      <c r="B3" t="s">
        <v>228</v>
      </c>
    </row>
    <row r="4" spans="2:11" x14ac:dyDescent="0.25">
      <c r="C4" t="s">
        <v>229</v>
      </c>
      <c r="D4">
        <v>8041</v>
      </c>
      <c r="E4" s="270">
        <f>D4/$D$14</f>
        <v>0.30948348856900931</v>
      </c>
      <c r="F4" s="269">
        <v>5906</v>
      </c>
      <c r="G4" s="270">
        <f>F4/$F$14</f>
        <v>7.1825556082551964E-2</v>
      </c>
    </row>
    <row r="5" spans="2:11" x14ac:dyDescent="0.25">
      <c r="C5" t="s">
        <v>230</v>
      </c>
      <c r="D5">
        <v>7899</v>
      </c>
      <c r="E5" s="270">
        <f t="shared" ref="E5:E13" si="0">D5/$D$14</f>
        <v>0.30401816642290819</v>
      </c>
      <c r="F5" s="269">
        <v>42478</v>
      </c>
      <c r="G5" s="270">
        <f t="shared" ref="G5:G13" si="1">F5/$F$14</f>
        <v>0.51659430600654288</v>
      </c>
      <c r="K5" s="269"/>
    </row>
    <row r="6" spans="2:11" x14ac:dyDescent="0.25">
      <c r="C6" t="s">
        <v>231</v>
      </c>
      <c r="D6">
        <v>576</v>
      </c>
      <c r="E6" s="270">
        <f t="shared" si="0"/>
        <v>2.2169194057424371E-2</v>
      </c>
      <c r="F6" s="269">
        <v>5818</v>
      </c>
      <c r="G6" s="270">
        <f t="shared" si="1"/>
        <v>7.0755348000048651E-2</v>
      </c>
    </row>
    <row r="7" spans="2:11" x14ac:dyDescent="0.25">
      <c r="B7" t="s">
        <v>232</v>
      </c>
      <c r="E7" s="271"/>
      <c r="F7" s="269"/>
      <c r="G7" s="271"/>
    </row>
    <row r="8" spans="2:11" x14ac:dyDescent="0.25">
      <c r="C8" t="s">
        <v>233</v>
      </c>
      <c r="D8">
        <v>3459</v>
      </c>
      <c r="E8" s="270">
        <f t="shared" si="0"/>
        <v>0.13313062889692864</v>
      </c>
      <c r="F8" s="269">
        <v>8549</v>
      </c>
      <c r="G8" s="270">
        <f t="shared" si="1"/>
        <v>0.10396828292410036</v>
      </c>
    </row>
    <row r="9" spans="2:11" x14ac:dyDescent="0.25">
      <c r="C9" t="s">
        <v>234</v>
      </c>
      <c r="D9">
        <v>1502</v>
      </c>
      <c r="E9" s="270">
        <f t="shared" si="0"/>
        <v>5.7809252559464244E-2</v>
      </c>
      <c r="F9" s="269">
        <v>4030</v>
      </c>
      <c r="G9" s="270">
        <f t="shared" si="1"/>
        <v>4.9010665596458586E-2</v>
      </c>
    </row>
    <row r="10" spans="2:11" x14ac:dyDescent="0.25">
      <c r="C10" t="s">
        <v>235</v>
      </c>
      <c r="D10">
        <v>321</v>
      </c>
      <c r="E10" s="270">
        <f t="shared" si="0"/>
        <v>1.235470710491879E-2</v>
      </c>
      <c r="F10" s="269">
        <v>0</v>
      </c>
      <c r="G10" s="270">
        <f t="shared" si="1"/>
        <v>0</v>
      </c>
    </row>
    <row r="11" spans="2:11" x14ac:dyDescent="0.25">
      <c r="C11" t="s">
        <v>236</v>
      </c>
      <c r="D11">
        <v>917</v>
      </c>
      <c r="E11" s="270">
        <f t="shared" si="0"/>
        <v>3.5293664844892617E-2</v>
      </c>
      <c r="F11" s="269">
        <v>2806</v>
      </c>
      <c r="G11" s="270">
        <f t="shared" si="1"/>
        <v>3.4125044085276127E-2</v>
      </c>
    </row>
    <row r="12" spans="2:11" x14ac:dyDescent="0.25">
      <c r="C12" t="s">
        <v>237</v>
      </c>
      <c r="D12">
        <v>2686</v>
      </c>
      <c r="E12" s="270">
        <f t="shared" si="0"/>
        <v>0.10337926256639211</v>
      </c>
      <c r="F12" s="269">
        <v>11286</v>
      </c>
      <c r="G12" s="270">
        <f t="shared" si="1"/>
        <v>0.13725418658105001</v>
      </c>
    </row>
    <row r="13" spans="2:11" x14ac:dyDescent="0.25">
      <c r="C13" t="s">
        <v>238</v>
      </c>
      <c r="D13">
        <v>581</v>
      </c>
      <c r="E13" s="270">
        <f t="shared" si="0"/>
        <v>2.2361634978061734E-2</v>
      </c>
      <c r="F13" s="269">
        <v>1354</v>
      </c>
      <c r="G13" s="270">
        <f t="shared" si="1"/>
        <v>1.6466610723971445E-2</v>
      </c>
    </row>
    <row r="14" spans="2:11" x14ac:dyDescent="0.25">
      <c r="B14" t="s">
        <v>13</v>
      </c>
      <c r="D14">
        <f>SUM(D4:D13)</f>
        <v>25982</v>
      </c>
      <c r="F14" s="269">
        <f>SUM(F4:F13)</f>
        <v>82227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4"/>
  <sheetViews>
    <sheetView workbookViewId="0">
      <selection activeCell="O2" sqref="O2:AO3"/>
    </sheetView>
  </sheetViews>
  <sheetFormatPr defaultRowHeight="15" x14ac:dyDescent="0.25"/>
  <cols>
    <col min="1" max="1" width="8.5703125" customWidth="1"/>
    <col min="2" max="2" width="86.140625" customWidth="1"/>
    <col min="4" max="4" width="28.5703125" customWidth="1"/>
    <col min="5" max="5" width="11.7109375" customWidth="1"/>
    <col min="6" max="6" width="10.85546875" customWidth="1"/>
    <col min="7" max="7" width="10.140625" customWidth="1"/>
    <col min="8" max="8" width="11.42578125" customWidth="1"/>
    <col min="9" max="9" width="12.28515625" customWidth="1"/>
    <col min="10" max="10" width="12.85546875" customWidth="1"/>
    <col min="11" max="11" width="10.5703125" customWidth="1"/>
    <col min="12" max="13" width="14" customWidth="1"/>
    <col min="14" max="14" width="13.42578125" customWidth="1"/>
    <col min="24" max="24" width="16.5703125" customWidth="1"/>
    <col min="25" max="25" width="14" customWidth="1"/>
    <col min="26" max="26" width="14.85546875" customWidth="1"/>
    <col min="27" max="27" width="14.42578125" customWidth="1"/>
    <col min="28" max="28" width="12.140625" customWidth="1"/>
    <col min="29" max="29" width="13.7109375" customWidth="1"/>
    <col min="30" max="30" width="12" customWidth="1"/>
    <col min="31" max="31" width="14" customWidth="1"/>
    <col min="32" max="32" width="14.7109375" customWidth="1"/>
    <col min="33" max="33" width="15.42578125" customWidth="1"/>
    <col min="34" max="34" width="13.28515625" customWidth="1"/>
    <col min="35" max="35" width="15.140625" customWidth="1"/>
    <col min="36" max="36" width="10.85546875" customWidth="1"/>
    <col min="37" max="37" width="11.5703125" customWidth="1"/>
    <col min="38" max="38" width="9.85546875" customWidth="1"/>
    <col min="39" max="39" width="11.28515625" customWidth="1"/>
    <col min="41" max="41" width="11.85546875" customWidth="1"/>
  </cols>
  <sheetData>
    <row r="1" spans="1:41" ht="21.75" thickBot="1" x14ac:dyDescent="0.4">
      <c r="A1" s="333" t="s">
        <v>363</v>
      </c>
      <c r="N1" s="354"/>
      <c r="O1" s="355" t="s">
        <v>364</v>
      </c>
      <c r="P1" s="356"/>
      <c r="Q1" s="356"/>
      <c r="R1" s="356"/>
      <c r="S1" s="356"/>
      <c r="T1" s="356"/>
      <c r="U1" s="356"/>
      <c r="V1" s="356"/>
      <c r="W1" s="356"/>
      <c r="Y1" s="356"/>
      <c r="Z1" s="356"/>
      <c r="AA1" s="356"/>
      <c r="AB1" s="356"/>
      <c r="AC1" s="356"/>
      <c r="AD1" s="356"/>
      <c r="AE1" s="356"/>
      <c r="AF1" s="356"/>
      <c r="AG1" s="356"/>
      <c r="AH1" s="356"/>
      <c r="AI1" s="356"/>
      <c r="AJ1" s="356"/>
      <c r="AK1" s="356"/>
      <c r="AL1" s="356"/>
      <c r="AM1" s="356"/>
      <c r="AN1" s="356"/>
      <c r="AO1" s="356"/>
    </row>
    <row r="2" spans="1:41" x14ac:dyDescent="0.25">
      <c r="M2" s="357"/>
      <c r="N2" s="358" t="s">
        <v>365</v>
      </c>
      <c r="O2" s="359">
        <v>1</v>
      </c>
      <c r="P2" s="359">
        <f t="shared" ref="P2:AO2" si="0">O2+1</f>
        <v>2</v>
      </c>
      <c r="Q2" s="359">
        <f t="shared" si="0"/>
        <v>3</v>
      </c>
      <c r="R2" s="359">
        <f t="shared" si="0"/>
        <v>4</v>
      </c>
      <c r="S2" s="359">
        <f t="shared" si="0"/>
        <v>5</v>
      </c>
      <c r="T2" s="359">
        <f t="shared" si="0"/>
        <v>6</v>
      </c>
      <c r="U2" s="359">
        <f t="shared" si="0"/>
        <v>7</v>
      </c>
      <c r="V2" s="359">
        <f t="shared" si="0"/>
        <v>8</v>
      </c>
      <c r="W2" s="359">
        <f t="shared" si="0"/>
        <v>9</v>
      </c>
      <c r="X2" s="359">
        <f t="shared" si="0"/>
        <v>10</v>
      </c>
      <c r="Y2" s="359">
        <f t="shared" si="0"/>
        <v>11</v>
      </c>
      <c r="Z2" s="359">
        <f t="shared" si="0"/>
        <v>12</v>
      </c>
      <c r="AA2" s="359">
        <f t="shared" si="0"/>
        <v>13</v>
      </c>
      <c r="AB2" s="359">
        <f t="shared" si="0"/>
        <v>14</v>
      </c>
      <c r="AC2" s="359">
        <f t="shared" si="0"/>
        <v>15</v>
      </c>
      <c r="AD2" s="359">
        <f t="shared" si="0"/>
        <v>16</v>
      </c>
      <c r="AE2" s="359">
        <f t="shared" si="0"/>
        <v>17</v>
      </c>
      <c r="AF2" s="359">
        <f t="shared" si="0"/>
        <v>18</v>
      </c>
      <c r="AG2" s="359">
        <f t="shared" si="0"/>
        <v>19</v>
      </c>
      <c r="AH2" s="359">
        <f t="shared" si="0"/>
        <v>20</v>
      </c>
      <c r="AI2" s="359">
        <f t="shared" si="0"/>
        <v>21</v>
      </c>
      <c r="AJ2" s="359">
        <f t="shared" si="0"/>
        <v>22</v>
      </c>
      <c r="AK2" s="359">
        <f t="shared" si="0"/>
        <v>23</v>
      </c>
      <c r="AL2" s="359">
        <f t="shared" si="0"/>
        <v>24</v>
      </c>
      <c r="AM2" s="359">
        <f t="shared" si="0"/>
        <v>25</v>
      </c>
      <c r="AN2" s="359">
        <f t="shared" si="0"/>
        <v>26</v>
      </c>
      <c r="AO2" s="359">
        <f t="shared" si="0"/>
        <v>27</v>
      </c>
    </row>
    <row r="3" spans="1:41" ht="90" x14ac:dyDescent="0.25">
      <c r="A3" s="334" t="s">
        <v>306</v>
      </c>
      <c r="B3" s="334" t="s">
        <v>307</v>
      </c>
      <c r="C3" s="334" t="s">
        <v>308</v>
      </c>
      <c r="D3" s="334" t="s">
        <v>309</v>
      </c>
      <c r="E3" s="334" t="s">
        <v>366</v>
      </c>
      <c r="F3" s="334" t="s">
        <v>310</v>
      </c>
      <c r="G3" s="334" t="s">
        <v>367</v>
      </c>
      <c r="H3" s="334" t="s">
        <v>368</v>
      </c>
      <c r="I3" s="334" t="s">
        <v>369</v>
      </c>
      <c r="J3" s="334" t="s">
        <v>370</v>
      </c>
      <c r="K3" s="334" t="s">
        <v>371</v>
      </c>
      <c r="L3" s="334" t="s">
        <v>372</v>
      </c>
      <c r="M3" s="334" t="s">
        <v>373</v>
      </c>
      <c r="N3" s="334" t="s">
        <v>312</v>
      </c>
      <c r="O3" s="334" t="s">
        <v>374</v>
      </c>
      <c r="P3" s="334" t="s">
        <v>375</v>
      </c>
      <c r="Q3" s="334" t="s">
        <v>376</v>
      </c>
      <c r="R3" s="334" t="s">
        <v>377</v>
      </c>
      <c r="S3" s="334" t="s">
        <v>378</v>
      </c>
      <c r="T3" s="334" t="s">
        <v>379</v>
      </c>
      <c r="U3" s="334" t="s">
        <v>380</v>
      </c>
      <c r="V3" s="334" t="s">
        <v>381</v>
      </c>
      <c r="W3" s="334" t="s">
        <v>382</v>
      </c>
      <c r="X3" s="334" t="s">
        <v>383</v>
      </c>
      <c r="Y3" s="334" t="s">
        <v>384</v>
      </c>
      <c r="Z3" s="334" t="s">
        <v>385</v>
      </c>
      <c r="AA3" s="334" t="s">
        <v>386</v>
      </c>
      <c r="AB3" s="334" t="s">
        <v>387</v>
      </c>
      <c r="AC3" s="334" t="s">
        <v>388</v>
      </c>
      <c r="AD3" s="334" t="s">
        <v>389</v>
      </c>
      <c r="AE3" s="334" t="s">
        <v>390</v>
      </c>
      <c r="AF3" s="334" t="s">
        <v>391</v>
      </c>
      <c r="AG3" s="334" t="s">
        <v>392</v>
      </c>
      <c r="AH3" s="360" t="s">
        <v>393</v>
      </c>
      <c r="AI3" s="334" t="s">
        <v>394</v>
      </c>
      <c r="AJ3" s="334" t="s">
        <v>395</v>
      </c>
      <c r="AK3" s="334" t="s">
        <v>396</v>
      </c>
      <c r="AL3" s="334" t="s">
        <v>397</v>
      </c>
      <c r="AM3" s="334" t="s">
        <v>398</v>
      </c>
      <c r="AN3" s="334" t="s">
        <v>399</v>
      </c>
      <c r="AO3" s="334" t="s">
        <v>400</v>
      </c>
    </row>
    <row r="4" spans="1:41" x14ac:dyDescent="0.25">
      <c r="A4" s="361" t="s">
        <v>321</v>
      </c>
      <c r="B4" s="361" t="s">
        <v>322</v>
      </c>
      <c r="C4" s="361" t="s">
        <v>323</v>
      </c>
      <c r="D4" s="361" t="s">
        <v>324</v>
      </c>
      <c r="E4" s="362">
        <v>21</v>
      </c>
      <c r="F4" s="362">
        <v>263</v>
      </c>
      <c r="G4" s="362">
        <v>20</v>
      </c>
      <c r="H4" s="362">
        <v>235</v>
      </c>
      <c r="I4" s="363">
        <v>484.97872340425499</v>
      </c>
      <c r="J4" s="363">
        <v>207</v>
      </c>
      <c r="K4" s="363">
        <v>187.96265700483099</v>
      </c>
      <c r="L4" s="363">
        <v>9</v>
      </c>
      <c r="M4" s="363">
        <v>30.8888888888889</v>
      </c>
      <c r="N4" s="364">
        <v>26412.925333028801</v>
      </c>
      <c r="O4" s="365">
        <v>408.62819508046601</v>
      </c>
      <c r="P4" s="365">
        <v>146.34924389418001</v>
      </c>
      <c r="Q4" s="365">
        <v>5246.1964237073598</v>
      </c>
      <c r="R4" s="365">
        <v>167.872777188095</v>
      </c>
      <c r="S4" s="365">
        <v>0.88908326626876799</v>
      </c>
      <c r="T4" s="365">
        <v>739.55823531885699</v>
      </c>
      <c r="U4" s="365">
        <v>3.8022813688212901E-5</v>
      </c>
      <c r="V4" s="365">
        <v>103.125722587144</v>
      </c>
      <c r="W4" s="365">
        <v>364.49978936836499</v>
      </c>
      <c r="X4" s="365">
        <v>5609.3490009920597</v>
      </c>
      <c r="Y4" s="365">
        <v>3720.9927719172902</v>
      </c>
      <c r="Z4" s="365">
        <v>374.55288300758599</v>
      </c>
      <c r="AA4" s="365">
        <v>1.2549129881353001</v>
      </c>
      <c r="AB4" s="365">
        <v>20.1451118038446</v>
      </c>
      <c r="AC4" s="365">
        <v>1.3536378004421601</v>
      </c>
      <c r="AD4" s="365">
        <v>204.15530761984499</v>
      </c>
      <c r="AE4" s="365">
        <v>741.10314663362101</v>
      </c>
      <c r="AF4" s="365">
        <v>189.19788978171201</v>
      </c>
      <c r="AG4" s="365">
        <v>95.961089395131594</v>
      </c>
      <c r="AH4" s="365">
        <v>9.0760456273764306E-2</v>
      </c>
      <c r="AI4" s="365">
        <v>4.3871802596647704</v>
      </c>
      <c r="AJ4" s="365">
        <v>9.6342763322456904</v>
      </c>
      <c r="AK4" s="365">
        <v>30.3326209710442</v>
      </c>
      <c r="AL4" s="365">
        <v>41.905066681261999</v>
      </c>
      <c r="AM4" s="365">
        <v>398.69380265117201</v>
      </c>
      <c r="AN4" s="365">
        <v>3196.27321061159</v>
      </c>
      <c r="AO4" s="365">
        <v>4596.4230919291504</v>
      </c>
    </row>
    <row r="5" spans="1:41" x14ac:dyDescent="0.25">
      <c r="A5" s="361" t="s">
        <v>321</v>
      </c>
      <c r="B5" s="361" t="s">
        <v>322</v>
      </c>
      <c r="C5" s="361" t="s">
        <v>325</v>
      </c>
      <c r="D5" s="361" t="s">
        <v>326</v>
      </c>
      <c r="E5" s="362">
        <v>43</v>
      </c>
      <c r="F5" s="362">
        <v>205</v>
      </c>
      <c r="G5" s="362">
        <v>18</v>
      </c>
      <c r="H5" s="362">
        <v>65</v>
      </c>
      <c r="I5" s="363">
        <v>352.95384615384597</v>
      </c>
      <c r="J5" s="363">
        <v>74</v>
      </c>
      <c r="K5" s="363">
        <v>251.715135135135</v>
      </c>
      <c r="L5" s="363">
        <v>13</v>
      </c>
      <c r="M5" s="363">
        <v>216.30769230769201</v>
      </c>
      <c r="N5" s="364">
        <v>14016.907840235701</v>
      </c>
      <c r="O5" s="365">
        <v>164.39761350672401</v>
      </c>
      <c r="P5" s="365">
        <v>133.04973603774599</v>
      </c>
      <c r="Q5" s="365">
        <v>2113.9388688808399</v>
      </c>
      <c r="R5" s="365">
        <v>156.571789326117</v>
      </c>
      <c r="S5" s="365">
        <v>0</v>
      </c>
      <c r="T5" s="365">
        <v>448.22652883450701</v>
      </c>
      <c r="U5" s="365">
        <v>2.9564200242847099E-2</v>
      </c>
      <c r="V5" s="365">
        <v>123.44459988294101</v>
      </c>
      <c r="W5" s="365">
        <v>392.25089156150301</v>
      </c>
      <c r="X5" s="365">
        <v>2203.2942592642798</v>
      </c>
      <c r="Y5" s="365">
        <v>965.33673824527</v>
      </c>
      <c r="Z5" s="365">
        <v>316.97091100219802</v>
      </c>
      <c r="AA5" s="365">
        <v>0.96504860437199702</v>
      </c>
      <c r="AB5" s="365">
        <v>13.515708923257201</v>
      </c>
      <c r="AC5" s="365">
        <v>1.37501656569657</v>
      </c>
      <c r="AD5" s="365">
        <v>111.535763663484</v>
      </c>
      <c r="AE5" s="365">
        <v>440.71588988715598</v>
      </c>
      <c r="AF5" s="365">
        <v>145.87283867861899</v>
      </c>
      <c r="AG5" s="365">
        <v>52.077505422790701</v>
      </c>
      <c r="AH5" s="365">
        <v>0.47141463414634099</v>
      </c>
      <c r="AI5" s="365">
        <v>4.6271884083642902</v>
      </c>
      <c r="AJ5" s="365">
        <v>4.6651326018567101</v>
      </c>
      <c r="AK5" s="365">
        <v>27.689394284962901</v>
      </c>
      <c r="AL5" s="365">
        <v>87.163241656304507</v>
      </c>
      <c r="AM5" s="365">
        <v>239.166538511308</v>
      </c>
      <c r="AN5" s="365">
        <v>3117.7391270602002</v>
      </c>
      <c r="AO5" s="365">
        <v>2751.81673622277</v>
      </c>
    </row>
    <row r="6" spans="1:41" x14ac:dyDescent="0.25">
      <c r="A6" s="361" t="s">
        <v>327</v>
      </c>
      <c r="B6" s="361" t="s">
        <v>328</v>
      </c>
      <c r="C6" s="361" t="s">
        <v>323</v>
      </c>
      <c r="D6" s="361" t="s">
        <v>324</v>
      </c>
      <c r="E6" s="362">
        <v>17</v>
      </c>
      <c r="F6" s="362">
        <v>281</v>
      </c>
      <c r="G6" s="362">
        <v>11</v>
      </c>
      <c r="H6" s="362">
        <v>253</v>
      </c>
      <c r="I6" s="363">
        <v>442.11067193675899</v>
      </c>
      <c r="J6" s="363">
        <v>202</v>
      </c>
      <c r="K6" s="363">
        <v>96.637359735973604</v>
      </c>
      <c r="L6" s="363">
        <v>2</v>
      </c>
      <c r="M6" s="363">
        <v>47.5</v>
      </c>
      <c r="N6" s="364">
        <v>16344.687617137601</v>
      </c>
      <c r="O6" s="365">
        <v>142.09422211263399</v>
      </c>
      <c r="P6" s="365">
        <v>81.595274465299198</v>
      </c>
      <c r="Q6" s="365">
        <v>2038.8174523488699</v>
      </c>
      <c r="R6" s="365">
        <v>32.597441100108497</v>
      </c>
      <c r="S6" s="365">
        <v>0</v>
      </c>
      <c r="T6" s="365">
        <v>346.45835674408198</v>
      </c>
      <c r="U6" s="365">
        <v>0</v>
      </c>
      <c r="V6" s="365">
        <v>64.594730354177102</v>
      </c>
      <c r="W6" s="365">
        <v>120.605844499315</v>
      </c>
      <c r="X6" s="365">
        <v>3823.5504846945501</v>
      </c>
      <c r="Y6" s="365">
        <v>3619.29664949475</v>
      </c>
      <c r="Z6" s="365">
        <v>296.23054051790302</v>
      </c>
      <c r="AA6" s="365">
        <v>5.2032831762734301E-2</v>
      </c>
      <c r="AB6" s="365">
        <v>23.822187664783002</v>
      </c>
      <c r="AC6" s="365">
        <v>1.0439353042116499</v>
      </c>
      <c r="AD6" s="365">
        <v>181.15812113763801</v>
      </c>
      <c r="AE6" s="365">
        <v>320.690406221584</v>
      </c>
      <c r="AF6" s="365">
        <v>71.481805871600102</v>
      </c>
      <c r="AG6" s="365">
        <v>66.008073579632097</v>
      </c>
      <c r="AH6" s="365">
        <v>9.7224199288256194E-2</v>
      </c>
      <c r="AI6" s="365">
        <v>3.2872282993342901</v>
      </c>
      <c r="AJ6" s="365">
        <v>8.5401128948365894</v>
      </c>
      <c r="AK6" s="365">
        <v>12.506731984681499</v>
      </c>
      <c r="AL6" s="365">
        <v>22.9219241395603</v>
      </c>
      <c r="AM6" s="365">
        <v>178.34505806888001</v>
      </c>
      <c r="AN6" s="365">
        <v>2093.0313624250598</v>
      </c>
      <c r="AO6" s="365">
        <v>2795.8600140427002</v>
      </c>
    </row>
    <row r="7" spans="1:41" x14ac:dyDescent="0.25">
      <c r="A7" s="361" t="s">
        <v>327</v>
      </c>
      <c r="B7" s="361" t="s">
        <v>328</v>
      </c>
      <c r="C7" s="361" t="s">
        <v>325</v>
      </c>
      <c r="D7" s="361" t="s">
        <v>326</v>
      </c>
      <c r="E7" s="362">
        <v>37</v>
      </c>
      <c r="F7" s="362">
        <v>106</v>
      </c>
      <c r="G7" s="362">
        <v>12</v>
      </c>
      <c r="H7" s="362">
        <v>41</v>
      </c>
      <c r="I7" s="363">
        <v>353.36585365853699</v>
      </c>
      <c r="J7" s="363">
        <v>32</v>
      </c>
      <c r="K7" s="363">
        <v>274.92750000000001</v>
      </c>
      <c r="L7" s="363">
        <v>3</v>
      </c>
      <c r="M7" s="363">
        <v>35</v>
      </c>
      <c r="N7" s="364">
        <v>9799.1522824199001</v>
      </c>
      <c r="O7" s="365">
        <v>96.642075725389304</v>
      </c>
      <c r="P7" s="365">
        <v>76.947596717829299</v>
      </c>
      <c r="Q7" s="365">
        <v>749.85046484201598</v>
      </c>
      <c r="R7" s="365">
        <v>38.329383138593201</v>
      </c>
      <c r="S7" s="365">
        <v>0.89925397122400696</v>
      </c>
      <c r="T7" s="365">
        <v>267.843104741795</v>
      </c>
      <c r="U7" s="365">
        <v>9.4415644405594894E-5</v>
      </c>
      <c r="V7" s="365">
        <v>42.589249529996998</v>
      </c>
      <c r="W7" s="365">
        <v>214.640794324285</v>
      </c>
      <c r="X7" s="365">
        <v>2210.7224315355402</v>
      </c>
      <c r="Y7" s="365">
        <v>1211.4583759099201</v>
      </c>
      <c r="Z7" s="365">
        <v>323.58764095342201</v>
      </c>
      <c r="AA7" s="365">
        <v>0.25722820478893599</v>
      </c>
      <c r="AB7" s="365">
        <v>14.197150033389899</v>
      </c>
      <c r="AC7" s="365">
        <v>0.59682172437775505</v>
      </c>
      <c r="AD7" s="365">
        <v>72.996018631178998</v>
      </c>
      <c r="AE7" s="365">
        <v>210.97180886166799</v>
      </c>
      <c r="AF7" s="365">
        <v>80.374906591342494</v>
      </c>
      <c r="AG7" s="365">
        <v>20.9670975322665</v>
      </c>
      <c r="AH7" s="365">
        <v>2.5094339622641501E-2</v>
      </c>
      <c r="AI7" s="365">
        <v>1.04632763005472</v>
      </c>
      <c r="AJ7" s="365">
        <v>1.0027660854064999</v>
      </c>
      <c r="AK7" s="365">
        <v>12.043944137498301</v>
      </c>
      <c r="AL7" s="365">
        <v>44.119618188274799</v>
      </c>
      <c r="AM7" s="365">
        <v>129.339186657477</v>
      </c>
      <c r="AN7" s="365">
        <v>2101.4798357835398</v>
      </c>
      <c r="AO7" s="365">
        <v>1876.2236626194999</v>
      </c>
    </row>
    <row r="8" spans="1:41" x14ac:dyDescent="0.25">
      <c r="A8" s="361" t="s">
        <v>329</v>
      </c>
      <c r="B8" s="361" t="s">
        <v>330</v>
      </c>
      <c r="C8" s="361" t="s">
        <v>323</v>
      </c>
      <c r="D8" s="361" t="s">
        <v>324</v>
      </c>
      <c r="E8" s="362">
        <v>29</v>
      </c>
      <c r="F8" s="362">
        <v>509</v>
      </c>
      <c r="G8" s="362">
        <v>8</v>
      </c>
      <c r="H8" s="362">
        <v>464</v>
      </c>
      <c r="I8" s="363">
        <v>442.59051724137902</v>
      </c>
      <c r="J8" s="363">
        <v>305</v>
      </c>
      <c r="K8" s="363">
        <v>85.988382511475393</v>
      </c>
      <c r="L8" s="363">
        <v>1</v>
      </c>
      <c r="M8" s="363">
        <v>100</v>
      </c>
      <c r="N8" s="364">
        <v>13681.5447035251</v>
      </c>
      <c r="O8" s="365">
        <v>97.639897739113707</v>
      </c>
      <c r="P8" s="365">
        <v>71.011728820183905</v>
      </c>
      <c r="Q8" s="365">
        <v>1387.89190646814</v>
      </c>
      <c r="R8" s="365">
        <v>37.561089834667499</v>
      </c>
      <c r="S8" s="365">
        <v>2.4768748914959102E-2</v>
      </c>
      <c r="T8" s="365">
        <v>252.95562376563399</v>
      </c>
      <c r="U8" s="365">
        <v>0</v>
      </c>
      <c r="V8" s="365">
        <v>33.203216704319701</v>
      </c>
      <c r="W8" s="365">
        <v>79.308136240873495</v>
      </c>
      <c r="X8" s="365">
        <v>3221.6806953953601</v>
      </c>
      <c r="Y8" s="365">
        <v>3689.05078634354</v>
      </c>
      <c r="Z8" s="365">
        <v>209.95644903911301</v>
      </c>
      <c r="AA8" s="365">
        <v>8.2824906043192398E-2</v>
      </c>
      <c r="AB8" s="365">
        <v>11.057364102002699</v>
      </c>
      <c r="AC8" s="365">
        <v>0.985820177168928</v>
      </c>
      <c r="AD8" s="365">
        <v>135.70701304817501</v>
      </c>
      <c r="AE8" s="365">
        <v>302.028055891267</v>
      </c>
      <c r="AF8" s="365">
        <v>64.914052633652204</v>
      </c>
      <c r="AG8" s="365">
        <v>77.778223460534903</v>
      </c>
      <c r="AH8" s="365">
        <v>2.9449901768172901E-2</v>
      </c>
      <c r="AI8" s="365">
        <v>19.184561400584698</v>
      </c>
      <c r="AJ8" s="365">
        <v>4.1128690280736402</v>
      </c>
      <c r="AK8" s="365">
        <v>11.520571767099</v>
      </c>
      <c r="AL8" s="365">
        <v>24.254635939480199</v>
      </c>
      <c r="AM8" s="365">
        <v>140.132220057398</v>
      </c>
      <c r="AN8" s="365">
        <v>1597.1473213157899</v>
      </c>
      <c r="AO8" s="365">
        <v>2212.32483964322</v>
      </c>
    </row>
    <row r="9" spans="1:41" x14ac:dyDescent="0.25">
      <c r="A9" s="361" t="s">
        <v>329</v>
      </c>
      <c r="B9" s="361" t="s">
        <v>330</v>
      </c>
      <c r="C9" s="361" t="s">
        <v>325</v>
      </c>
      <c r="D9" s="361" t="s">
        <v>326</v>
      </c>
      <c r="E9" s="362">
        <v>39</v>
      </c>
      <c r="F9" s="362">
        <v>119</v>
      </c>
      <c r="G9" s="362">
        <v>10</v>
      </c>
      <c r="H9" s="362">
        <v>40</v>
      </c>
      <c r="I9" s="363">
        <v>284.92500000000001</v>
      </c>
      <c r="J9" s="363">
        <v>17</v>
      </c>
      <c r="K9" s="363">
        <v>51.298823529411798</v>
      </c>
      <c r="L9" s="363">
        <v>3</v>
      </c>
      <c r="M9" s="363">
        <v>31.3333333333333</v>
      </c>
      <c r="N9" s="364">
        <v>7802.4142401364998</v>
      </c>
      <c r="O9" s="365">
        <v>50.231152628673499</v>
      </c>
      <c r="P9" s="365">
        <v>59.814376066401302</v>
      </c>
      <c r="Q9" s="365">
        <v>335.24979987989298</v>
      </c>
      <c r="R9" s="365">
        <v>105.567684434792</v>
      </c>
      <c r="S9" s="365">
        <v>2.08403361344538E-2</v>
      </c>
      <c r="T9" s="365">
        <v>337.52948453456798</v>
      </c>
      <c r="U9" s="365">
        <v>0</v>
      </c>
      <c r="V9" s="365">
        <v>58.2684662497593</v>
      </c>
      <c r="W9" s="365">
        <v>242.67683877757901</v>
      </c>
      <c r="X9" s="365">
        <v>1464.2009305194499</v>
      </c>
      <c r="Y9" s="365">
        <v>944.77209226971695</v>
      </c>
      <c r="Z9" s="365">
        <v>201.618753866558</v>
      </c>
      <c r="AA9" s="365">
        <v>2.6312672333864098E-2</v>
      </c>
      <c r="AB9" s="365">
        <v>10.3687733916996</v>
      </c>
      <c r="AC9" s="365">
        <v>1.19868603834976</v>
      </c>
      <c r="AD9" s="365">
        <v>46.539380733345901</v>
      </c>
      <c r="AE9" s="365">
        <v>169.15627241779299</v>
      </c>
      <c r="AF9" s="365">
        <v>99.759983886085294</v>
      </c>
      <c r="AG9" s="365">
        <v>12.046526756210801</v>
      </c>
      <c r="AH9" s="365">
        <v>4.7142857142857097E-2</v>
      </c>
      <c r="AI9" s="365">
        <v>1.82186195542409</v>
      </c>
      <c r="AJ9" s="365">
        <v>1.18435106628374</v>
      </c>
      <c r="AK9" s="365">
        <v>15.886176917307001</v>
      </c>
      <c r="AL9" s="365">
        <v>41.933253740092098</v>
      </c>
      <c r="AM9" s="365">
        <v>70.203829885406506</v>
      </c>
      <c r="AN9" s="365">
        <v>2192.8721954934699</v>
      </c>
      <c r="AO9" s="365">
        <v>1339.4189624467101</v>
      </c>
    </row>
    <row r="10" spans="1:41" x14ac:dyDescent="0.25">
      <c r="A10" s="361" t="s">
        <v>329</v>
      </c>
      <c r="B10" s="361" t="s">
        <v>330</v>
      </c>
      <c r="C10" s="361" t="s">
        <v>331</v>
      </c>
      <c r="D10" s="361" t="s">
        <v>332</v>
      </c>
      <c r="E10" s="362">
        <v>3</v>
      </c>
      <c r="F10" s="362">
        <v>3</v>
      </c>
      <c r="G10" s="362">
        <v>0</v>
      </c>
      <c r="H10" s="362">
        <v>1</v>
      </c>
      <c r="I10" s="363">
        <v>62</v>
      </c>
      <c r="J10" s="363">
        <v>0</v>
      </c>
      <c r="K10" s="363" t="s">
        <v>401</v>
      </c>
      <c r="L10" s="363">
        <v>1</v>
      </c>
      <c r="M10" s="363">
        <v>52</v>
      </c>
      <c r="N10" s="364">
        <v>2880.7509447153102</v>
      </c>
      <c r="O10" s="365">
        <v>0.78666234650160705</v>
      </c>
      <c r="P10" s="365">
        <v>7.0484608382664398</v>
      </c>
      <c r="Q10" s="365">
        <v>0</v>
      </c>
      <c r="R10" s="365">
        <v>0</v>
      </c>
      <c r="S10" s="365">
        <v>0</v>
      </c>
      <c r="T10" s="365">
        <v>3.5265597249081702</v>
      </c>
      <c r="U10" s="365">
        <v>0</v>
      </c>
      <c r="V10" s="365">
        <v>0</v>
      </c>
      <c r="W10" s="365">
        <v>0</v>
      </c>
      <c r="X10" s="365">
        <v>249.31969045065799</v>
      </c>
      <c r="Y10" s="365">
        <v>171.743333333333</v>
      </c>
      <c r="Z10" s="365">
        <v>22.163553809682899</v>
      </c>
      <c r="AA10" s="365">
        <v>9.29121350166957E-3</v>
      </c>
      <c r="AB10" s="365">
        <v>9.1658056580493696E-2</v>
      </c>
      <c r="AC10" s="365">
        <v>0</v>
      </c>
      <c r="AD10" s="365">
        <v>15.825007977278</v>
      </c>
      <c r="AE10" s="365">
        <v>15.907524444022799</v>
      </c>
      <c r="AF10" s="365">
        <v>2.0243208943006801</v>
      </c>
      <c r="AG10" s="365">
        <v>2.3539768540631601E-2</v>
      </c>
      <c r="AH10" s="365">
        <v>0</v>
      </c>
      <c r="AI10" s="365">
        <v>1996.2099213333299</v>
      </c>
      <c r="AJ10" s="365">
        <v>0</v>
      </c>
      <c r="AK10" s="365">
        <v>242.59441930841899</v>
      </c>
      <c r="AL10" s="365">
        <v>0</v>
      </c>
      <c r="AM10" s="365">
        <v>0.27021148631638298</v>
      </c>
      <c r="AN10" s="365">
        <v>60.29</v>
      </c>
      <c r="AO10" s="365">
        <v>92.916789729664302</v>
      </c>
    </row>
    <row r="11" spans="1:41" x14ac:dyDescent="0.25">
      <c r="A11" s="361" t="s">
        <v>333</v>
      </c>
      <c r="B11" s="361" t="s">
        <v>334</v>
      </c>
      <c r="C11" s="361" t="s">
        <v>323</v>
      </c>
      <c r="D11" s="361" t="s">
        <v>324</v>
      </c>
      <c r="E11" s="362">
        <v>19</v>
      </c>
      <c r="F11" s="362">
        <v>214</v>
      </c>
      <c r="G11" s="362">
        <v>14</v>
      </c>
      <c r="H11" s="362">
        <v>188</v>
      </c>
      <c r="I11" s="363">
        <v>382.48404255319201</v>
      </c>
      <c r="J11" s="363">
        <v>152</v>
      </c>
      <c r="K11" s="363">
        <v>296.52833333333302</v>
      </c>
      <c r="L11" s="363">
        <v>3</v>
      </c>
      <c r="M11" s="363">
        <v>263.33333333333297</v>
      </c>
      <c r="N11" s="364">
        <v>20466.123431486201</v>
      </c>
      <c r="O11" s="365">
        <v>252.910391609111</v>
      </c>
      <c r="P11" s="365">
        <v>93.697454012018198</v>
      </c>
      <c r="Q11" s="365">
        <v>4193.6402807916002</v>
      </c>
      <c r="R11" s="365">
        <v>85.621380084018696</v>
      </c>
      <c r="S11" s="365">
        <v>0</v>
      </c>
      <c r="T11" s="365">
        <v>507.44614353021399</v>
      </c>
      <c r="U11" s="365">
        <v>9.34579439252336E-5</v>
      </c>
      <c r="V11" s="365">
        <v>93.378199595614007</v>
      </c>
      <c r="W11" s="365">
        <v>294.24264243486999</v>
      </c>
      <c r="X11" s="365">
        <v>4084.43714306228</v>
      </c>
      <c r="Y11" s="365">
        <v>2844.8015479791402</v>
      </c>
      <c r="Z11" s="365">
        <v>674.56977316245604</v>
      </c>
      <c r="AA11" s="365">
        <v>0.67349364192113803</v>
      </c>
      <c r="AB11" s="365">
        <v>22.002581170805101</v>
      </c>
      <c r="AC11" s="365">
        <v>1.02865437168312</v>
      </c>
      <c r="AD11" s="365">
        <v>257.71138263325201</v>
      </c>
      <c r="AE11" s="365">
        <v>572.94090796281102</v>
      </c>
      <c r="AF11" s="365">
        <v>115.452182547698</v>
      </c>
      <c r="AG11" s="365">
        <v>97.556802840737205</v>
      </c>
      <c r="AH11" s="365">
        <v>9.32710280373832E-2</v>
      </c>
      <c r="AI11" s="365">
        <v>3.5472040590981</v>
      </c>
      <c r="AJ11" s="365">
        <v>10.639196219999899</v>
      </c>
      <c r="AK11" s="365">
        <v>18.472706767793099</v>
      </c>
      <c r="AL11" s="365">
        <v>23.019502607745899</v>
      </c>
      <c r="AM11" s="365">
        <v>314.20969620519298</v>
      </c>
      <c r="AN11" s="365">
        <v>2290.1082711972399</v>
      </c>
      <c r="AO11" s="365">
        <v>3613.9227147496199</v>
      </c>
    </row>
    <row r="12" spans="1:41" x14ac:dyDescent="0.25">
      <c r="A12" s="361" t="s">
        <v>333</v>
      </c>
      <c r="B12" s="361" t="s">
        <v>334</v>
      </c>
      <c r="C12" s="361" t="s">
        <v>325</v>
      </c>
      <c r="D12" s="361" t="s">
        <v>326</v>
      </c>
      <c r="E12" s="362">
        <v>16</v>
      </c>
      <c r="F12" s="362">
        <v>27</v>
      </c>
      <c r="G12" s="362">
        <v>36</v>
      </c>
      <c r="H12" s="362">
        <v>19</v>
      </c>
      <c r="I12" s="363">
        <v>360.26315789473699</v>
      </c>
      <c r="J12" s="363">
        <v>15</v>
      </c>
      <c r="K12" s="363">
        <v>218.52066666666701</v>
      </c>
      <c r="L12" s="363">
        <v>2</v>
      </c>
      <c r="M12" s="363">
        <v>31</v>
      </c>
      <c r="N12" s="364">
        <v>29737.539163862501</v>
      </c>
      <c r="O12" s="365">
        <v>217.470325905236</v>
      </c>
      <c r="P12" s="365">
        <v>189.90961413661401</v>
      </c>
      <c r="Q12" s="365">
        <v>5200.1124592861897</v>
      </c>
      <c r="R12" s="365">
        <v>2942.0390940040002</v>
      </c>
      <c r="S12" s="365">
        <v>0</v>
      </c>
      <c r="T12" s="365">
        <v>1722.21328700757</v>
      </c>
      <c r="U12" s="365">
        <v>7.4074074074074103E-4</v>
      </c>
      <c r="V12" s="365">
        <v>95.801726855251999</v>
      </c>
      <c r="W12" s="365">
        <v>413.62958134227802</v>
      </c>
      <c r="X12" s="365">
        <v>4122.1614585221096</v>
      </c>
      <c r="Y12" s="365">
        <v>1886.4815348744701</v>
      </c>
      <c r="Z12" s="365">
        <v>2022.0137904983901</v>
      </c>
      <c r="AA12" s="365">
        <v>1.6452938697133499</v>
      </c>
      <c r="AB12" s="365">
        <v>16.821162427531501</v>
      </c>
      <c r="AC12" s="365">
        <v>1.3964863914185599</v>
      </c>
      <c r="AD12" s="365">
        <v>76.7416982959286</v>
      </c>
      <c r="AE12" s="365">
        <v>763.97606957007395</v>
      </c>
      <c r="AF12" s="365">
        <v>502.29354654363698</v>
      </c>
      <c r="AG12" s="365">
        <v>106.92428522800201</v>
      </c>
      <c r="AH12" s="365">
        <v>0</v>
      </c>
      <c r="AI12" s="365">
        <v>10.5004613333333</v>
      </c>
      <c r="AJ12" s="365">
        <v>1.52970633920869E-3</v>
      </c>
      <c r="AK12" s="365">
        <v>43.737772650166796</v>
      </c>
      <c r="AL12" s="365">
        <v>272.17945090663</v>
      </c>
      <c r="AM12" s="365">
        <v>212.67616692298699</v>
      </c>
      <c r="AN12" s="365">
        <v>3581.4773664324298</v>
      </c>
      <c r="AO12" s="365">
        <v>5335.3345937448603</v>
      </c>
    </row>
    <row r="13" spans="1:41" x14ac:dyDescent="0.25">
      <c r="A13" s="361" t="s">
        <v>335</v>
      </c>
      <c r="B13" s="361" t="s">
        <v>336</v>
      </c>
      <c r="C13" s="361" t="s">
        <v>323</v>
      </c>
      <c r="D13" s="361" t="s">
        <v>324</v>
      </c>
      <c r="E13" s="362">
        <v>26</v>
      </c>
      <c r="F13" s="362">
        <v>591</v>
      </c>
      <c r="G13" s="362">
        <v>6</v>
      </c>
      <c r="H13" s="362">
        <v>541</v>
      </c>
      <c r="I13" s="363">
        <v>312.12754158964901</v>
      </c>
      <c r="J13" s="363">
        <v>391</v>
      </c>
      <c r="K13" s="363">
        <v>80.199453887230803</v>
      </c>
      <c r="L13" s="363">
        <v>1</v>
      </c>
      <c r="M13" s="363">
        <v>100</v>
      </c>
      <c r="N13" s="364">
        <v>11708.3812380381</v>
      </c>
      <c r="O13" s="365">
        <v>86.059271466094799</v>
      </c>
      <c r="P13" s="365">
        <v>70.071582853047801</v>
      </c>
      <c r="Q13" s="365">
        <v>1304.27390298408</v>
      </c>
      <c r="R13" s="365">
        <v>17.581192890321599</v>
      </c>
      <c r="S13" s="365">
        <v>0</v>
      </c>
      <c r="T13" s="365">
        <v>219.088803549945</v>
      </c>
      <c r="U13" s="365">
        <v>0</v>
      </c>
      <c r="V13" s="365">
        <v>23.276514540878502</v>
      </c>
      <c r="W13" s="365">
        <v>64.305216670097806</v>
      </c>
      <c r="X13" s="365">
        <v>2871.8154864835201</v>
      </c>
      <c r="Y13" s="365">
        <v>2600.6281265381799</v>
      </c>
      <c r="Z13" s="365">
        <v>546.23110954831498</v>
      </c>
      <c r="AA13" s="365">
        <v>0.15573754921763699</v>
      </c>
      <c r="AB13" s="365">
        <v>13.8143522072493</v>
      </c>
      <c r="AC13" s="365">
        <v>0.686129516622905</v>
      </c>
      <c r="AD13" s="365">
        <v>141.227696888016</v>
      </c>
      <c r="AE13" s="365">
        <v>231.57745646500899</v>
      </c>
      <c r="AF13" s="365">
        <v>43.009219347006699</v>
      </c>
      <c r="AG13" s="365">
        <v>82.838306522151598</v>
      </c>
      <c r="AH13" s="365">
        <v>8.9847715736040598E-2</v>
      </c>
      <c r="AI13" s="365">
        <v>4.53122402884126</v>
      </c>
      <c r="AJ13" s="365">
        <v>3.0719745145686499</v>
      </c>
      <c r="AK13" s="365">
        <v>8.5682037931869104</v>
      </c>
      <c r="AL13" s="365">
        <v>16.0365998777309</v>
      </c>
      <c r="AM13" s="365">
        <v>81.113044639323206</v>
      </c>
      <c r="AN13" s="365">
        <v>1240.5980735324699</v>
      </c>
      <c r="AO13" s="365">
        <v>2037.7322576413101</v>
      </c>
    </row>
    <row r="14" spans="1:41" x14ac:dyDescent="0.25">
      <c r="A14" s="361" t="s">
        <v>335</v>
      </c>
      <c r="B14" s="361" t="s">
        <v>336</v>
      </c>
      <c r="C14" s="361" t="s">
        <v>325</v>
      </c>
      <c r="D14" s="361" t="s">
        <v>326</v>
      </c>
      <c r="E14" s="362">
        <v>9</v>
      </c>
      <c r="F14" s="362">
        <v>21</v>
      </c>
      <c r="G14" s="362">
        <v>17</v>
      </c>
      <c r="H14" s="362">
        <v>16</v>
      </c>
      <c r="I14" s="363">
        <v>309.875</v>
      </c>
      <c r="J14" s="363">
        <v>12</v>
      </c>
      <c r="K14" s="363">
        <v>90.1666666666667</v>
      </c>
      <c r="L14" s="363">
        <v>1</v>
      </c>
      <c r="M14" s="363">
        <v>11</v>
      </c>
      <c r="N14" s="364">
        <v>20357.7309232029</v>
      </c>
      <c r="O14" s="365">
        <v>116.826961169705</v>
      </c>
      <c r="P14" s="365">
        <v>64.257690186175907</v>
      </c>
      <c r="Q14" s="365">
        <v>1649.3335458010299</v>
      </c>
      <c r="R14" s="365">
        <v>139.54429797160799</v>
      </c>
      <c r="S14" s="365">
        <v>0</v>
      </c>
      <c r="T14" s="365">
        <v>754.40555603091002</v>
      </c>
      <c r="U14" s="365">
        <v>0</v>
      </c>
      <c r="V14" s="365">
        <v>52.644165426559603</v>
      </c>
      <c r="W14" s="365">
        <v>120.166264621967</v>
      </c>
      <c r="X14" s="365">
        <v>3833.5181755203298</v>
      </c>
      <c r="Y14" s="365">
        <v>1952.59161723087</v>
      </c>
      <c r="Z14" s="365">
        <v>1066.39340782864</v>
      </c>
      <c r="AA14" s="365">
        <v>4.7783402412221896E-3</v>
      </c>
      <c r="AB14" s="365">
        <v>29.658825083153701</v>
      </c>
      <c r="AC14" s="365">
        <v>0</v>
      </c>
      <c r="AD14" s="365">
        <v>324.62721643235</v>
      </c>
      <c r="AE14" s="365">
        <v>422.04469229066098</v>
      </c>
      <c r="AF14" s="365">
        <v>228.23194567175</v>
      </c>
      <c r="AG14" s="365">
        <v>72.974166085151197</v>
      </c>
      <c r="AH14" s="365">
        <v>3.52380952380952E-2</v>
      </c>
      <c r="AI14" s="365">
        <v>1.42521342857143</v>
      </c>
      <c r="AJ14" s="365">
        <v>11.9081550611035</v>
      </c>
      <c r="AK14" s="365">
        <v>34.656345615488398</v>
      </c>
      <c r="AL14" s="365">
        <v>276.65969536176402</v>
      </c>
      <c r="AM14" s="365">
        <v>112.526576138416</v>
      </c>
      <c r="AN14" s="365">
        <v>5279.9470911782901</v>
      </c>
      <c r="AO14" s="365">
        <v>3813.3493024899899</v>
      </c>
    </row>
    <row r="15" spans="1:41" x14ac:dyDescent="0.25">
      <c r="A15" s="361" t="s">
        <v>335</v>
      </c>
      <c r="B15" s="361" t="s">
        <v>336</v>
      </c>
      <c r="C15" s="361" t="s">
        <v>331</v>
      </c>
      <c r="D15" s="361" t="s">
        <v>332</v>
      </c>
      <c r="E15" s="362">
        <v>1</v>
      </c>
      <c r="F15" s="362">
        <v>1</v>
      </c>
      <c r="G15" s="362">
        <v>0</v>
      </c>
      <c r="H15" s="362">
        <v>0</v>
      </c>
      <c r="I15" s="363" t="s">
        <v>401</v>
      </c>
      <c r="J15" s="363">
        <v>0</v>
      </c>
      <c r="K15" s="363" t="s">
        <v>401</v>
      </c>
      <c r="L15" s="363">
        <v>1</v>
      </c>
      <c r="M15" s="363">
        <v>60</v>
      </c>
      <c r="N15" s="364">
        <v>1441.72</v>
      </c>
      <c r="O15" s="365">
        <v>2.86</v>
      </c>
      <c r="P15" s="365">
        <v>6.82</v>
      </c>
      <c r="Q15" s="365">
        <v>0</v>
      </c>
      <c r="R15" s="365">
        <v>0</v>
      </c>
      <c r="S15" s="365">
        <v>0</v>
      </c>
      <c r="T15" s="365">
        <v>191.51</v>
      </c>
      <c r="U15" s="365">
        <v>0</v>
      </c>
      <c r="V15" s="365">
        <v>6.71</v>
      </c>
      <c r="W15" s="365">
        <v>12.43</v>
      </c>
      <c r="X15" s="365">
        <v>263.45</v>
      </c>
      <c r="Y15" s="365">
        <v>0.77</v>
      </c>
      <c r="Z15" s="365">
        <v>169.4</v>
      </c>
      <c r="AA15" s="365">
        <v>2.5299999999999998</v>
      </c>
      <c r="AB15" s="365">
        <v>4.29</v>
      </c>
      <c r="AC15" s="365">
        <v>0</v>
      </c>
      <c r="AD15" s="365">
        <v>0</v>
      </c>
      <c r="AE15" s="365">
        <v>0</v>
      </c>
      <c r="AF15" s="365">
        <v>0</v>
      </c>
      <c r="AG15" s="365">
        <v>0</v>
      </c>
      <c r="AH15" s="365">
        <v>0</v>
      </c>
      <c r="AI15" s="365">
        <v>0</v>
      </c>
      <c r="AJ15" s="365">
        <v>21.89</v>
      </c>
      <c r="AK15" s="365">
        <v>505.78</v>
      </c>
      <c r="AL15" s="365">
        <v>15.84</v>
      </c>
      <c r="AM15" s="365">
        <v>0.33</v>
      </c>
      <c r="AN15" s="365">
        <v>0.11</v>
      </c>
      <c r="AO15" s="365">
        <v>237</v>
      </c>
    </row>
    <row r="16" spans="1:41" x14ac:dyDescent="0.25">
      <c r="A16" s="361" t="s">
        <v>338</v>
      </c>
      <c r="B16" s="361" t="s">
        <v>339</v>
      </c>
      <c r="C16" s="361" t="s">
        <v>323</v>
      </c>
      <c r="D16" s="361" t="s">
        <v>324</v>
      </c>
      <c r="E16" s="362">
        <v>41</v>
      </c>
      <c r="F16" s="362">
        <v>297</v>
      </c>
      <c r="G16" s="362">
        <v>9</v>
      </c>
      <c r="H16" s="362">
        <v>269</v>
      </c>
      <c r="I16" s="363">
        <v>300.28252788104101</v>
      </c>
      <c r="J16" s="363">
        <v>172</v>
      </c>
      <c r="K16" s="363">
        <v>139.872034883721</v>
      </c>
      <c r="L16" s="363">
        <v>4</v>
      </c>
      <c r="M16" s="363">
        <v>39</v>
      </c>
      <c r="N16" s="364">
        <v>12596.686186745001</v>
      </c>
      <c r="O16" s="365">
        <v>154.82169195147901</v>
      </c>
      <c r="P16" s="365">
        <v>82.076365970330698</v>
      </c>
      <c r="Q16" s="365">
        <v>2016.5164462246701</v>
      </c>
      <c r="R16" s="365">
        <v>196.23270577705199</v>
      </c>
      <c r="S16" s="365">
        <v>5.7644979954662103</v>
      </c>
      <c r="T16" s="365">
        <v>320.181247565776</v>
      </c>
      <c r="U16" s="365">
        <v>5.6781916119468902E-2</v>
      </c>
      <c r="V16" s="365">
        <v>32.087080722351402</v>
      </c>
      <c r="W16" s="365">
        <v>203.05757541798999</v>
      </c>
      <c r="X16" s="365">
        <v>2695.69349520181</v>
      </c>
      <c r="Y16" s="365">
        <v>2109.1277331066199</v>
      </c>
      <c r="Z16" s="365">
        <v>276.92020455368601</v>
      </c>
      <c r="AA16" s="365">
        <v>0.95282216678549703</v>
      </c>
      <c r="AB16" s="365">
        <v>6.31628320533218</v>
      </c>
      <c r="AC16" s="365">
        <v>1.52286292267212</v>
      </c>
      <c r="AD16" s="365">
        <v>80.278024665869907</v>
      </c>
      <c r="AE16" s="365">
        <v>346.228480860258</v>
      </c>
      <c r="AF16" s="365">
        <v>130.87718340637201</v>
      </c>
      <c r="AG16" s="365">
        <v>43.299331147641901</v>
      </c>
      <c r="AH16" s="365">
        <v>3.2188552188552197E-2</v>
      </c>
      <c r="AI16" s="365">
        <v>2.5611169152448001</v>
      </c>
      <c r="AJ16" s="365">
        <v>13.107598854847501</v>
      </c>
      <c r="AK16" s="365">
        <v>20.335356465162</v>
      </c>
      <c r="AL16" s="365">
        <v>27.9670745108604</v>
      </c>
      <c r="AM16" s="365">
        <v>155.067550700841</v>
      </c>
      <c r="AN16" s="365">
        <v>1674.0783376789</v>
      </c>
      <c r="AO16" s="365">
        <v>2001.5265060254801</v>
      </c>
    </row>
    <row r="17" spans="1:41" x14ac:dyDescent="0.25">
      <c r="A17" s="361" t="s">
        <v>338</v>
      </c>
      <c r="B17" s="361" t="s">
        <v>339</v>
      </c>
      <c r="C17" s="361" t="s">
        <v>325</v>
      </c>
      <c r="D17" s="361" t="s">
        <v>326</v>
      </c>
      <c r="E17" s="362">
        <v>29</v>
      </c>
      <c r="F17" s="362">
        <v>92</v>
      </c>
      <c r="G17" s="362">
        <v>15</v>
      </c>
      <c r="H17" s="362">
        <v>67</v>
      </c>
      <c r="I17" s="363">
        <v>235.10447761194001</v>
      </c>
      <c r="J17" s="363">
        <v>34</v>
      </c>
      <c r="K17" s="363">
        <v>3636.0308823529399</v>
      </c>
      <c r="L17" s="363">
        <v>15</v>
      </c>
      <c r="M17" s="363">
        <v>93</v>
      </c>
      <c r="N17" s="364">
        <v>14659.821075532</v>
      </c>
      <c r="O17" s="365">
        <v>317.77467335935597</v>
      </c>
      <c r="P17" s="365">
        <v>115.793035219302</v>
      </c>
      <c r="Q17" s="365">
        <v>3300.1131505316298</v>
      </c>
      <c r="R17" s="365">
        <v>96.150899950713494</v>
      </c>
      <c r="S17" s="365">
        <v>4.5652173913043499E-3</v>
      </c>
      <c r="T17" s="365">
        <v>352.10338091578899</v>
      </c>
      <c r="U17" s="365">
        <v>3.2362180348647698E-5</v>
      </c>
      <c r="V17" s="365">
        <v>60.657754191444099</v>
      </c>
      <c r="W17" s="365">
        <v>391.80034264759303</v>
      </c>
      <c r="X17" s="365">
        <v>2558.0136904635901</v>
      </c>
      <c r="Y17" s="365">
        <v>1465.3911684375</v>
      </c>
      <c r="Z17" s="365">
        <v>227.456751547599</v>
      </c>
      <c r="AA17" s="365">
        <v>0.91580735001194102</v>
      </c>
      <c r="AB17" s="365">
        <v>4.24977306536843</v>
      </c>
      <c r="AC17" s="365">
        <v>0.486954011792056</v>
      </c>
      <c r="AD17" s="365">
        <v>53.245439792262097</v>
      </c>
      <c r="AE17" s="365">
        <v>301.191801269731</v>
      </c>
      <c r="AF17" s="365">
        <v>158.878246413471</v>
      </c>
      <c r="AG17" s="365">
        <v>119.956576509068</v>
      </c>
      <c r="AH17" s="365">
        <v>2.8152173913043501E-2</v>
      </c>
      <c r="AI17" s="365">
        <v>1.9995164775497101</v>
      </c>
      <c r="AJ17" s="365">
        <v>3.2119602607557902</v>
      </c>
      <c r="AK17" s="365">
        <v>116.305747790826</v>
      </c>
      <c r="AL17" s="365">
        <v>45.428142558476999</v>
      </c>
      <c r="AM17" s="365">
        <v>162.96990112171201</v>
      </c>
      <c r="AN17" s="365">
        <v>2290.15095015919</v>
      </c>
      <c r="AO17" s="365">
        <v>2515.5426617120602</v>
      </c>
    </row>
    <row r="18" spans="1:41" x14ac:dyDescent="0.25">
      <c r="A18" s="361" t="s">
        <v>338</v>
      </c>
      <c r="B18" s="361" t="s">
        <v>339</v>
      </c>
      <c r="C18" s="361" t="s">
        <v>331</v>
      </c>
      <c r="D18" s="361" t="s">
        <v>332</v>
      </c>
      <c r="E18" s="362">
        <v>2</v>
      </c>
      <c r="F18" s="362">
        <v>2</v>
      </c>
      <c r="G18" s="362">
        <v>0</v>
      </c>
      <c r="H18" s="362">
        <v>0</v>
      </c>
      <c r="I18" s="363" t="s">
        <v>401</v>
      </c>
      <c r="J18" s="363">
        <v>0</v>
      </c>
      <c r="K18" s="363" t="s">
        <v>401</v>
      </c>
      <c r="L18" s="363">
        <v>1</v>
      </c>
      <c r="M18" s="363">
        <v>60</v>
      </c>
      <c r="N18" s="364">
        <v>768.99001953777304</v>
      </c>
      <c r="O18" s="365">
        <v>1.43</v>
      </c>
      <c r="P18" s="365">
        <v>5.0285512252346196</v>
      </c>
      <c r="Q18" s="365">
        <v>0</v>
      </c>
      <c r="R18" s="365">
        <v>0</v>
      </c>
      <c r="S18" s="365">
        <v>0</v>
      </c>
      <c r="T18" s="365">
        <v>95.754999999999995</v>
      </c>
      <c r="U18" s="365">
        <v>0</v>
      </c>
      <c r="V18" s="365">
        <v>3.4649999999999999</v>
      </c>
      <c r="W18" s="365">
        <v>6.4056694502322999</v>
      </c>
      <c r="X18" s="365">
        <v>91.465000000000003</v>
      </c>
      <c r="Y18" s="365">
        <v>0.38500000000000001</v>
      </c>
      <c r="Z18" s="365">
        <v>84.7</v>
      </c>
      <c r="AA18" s="365">
        <v>1.32</v>
      </c>
      <c r="AB18" s="365">
        <v>2.2000000000000002</v>
      </c>
      <c r="AC18" s="365">
        <v>4.5727323763890899</v>
      </c>
      <c r="AD18" s="365">
        <v>0</v>
      </c>
      <c r="AE18" s="365">
        <v>25.239280250757801</v>
      </c>
      <c r="AF18" s="365">
        <v>0</v>
      </c>
      <c r="AG18" s="365">
        <v>0</v>
      </c>
      <c r="AH18" s="365">
        <v>0</v>
      </c>
      <c r="AI18" s="365">
        <v>0</v>
      </c>
      <c r="AJ18" s="365">
        <v>5.28</v>
      </c>
      <c r="AK18" s="365">
        <v>270.013892292653</v>
      </c>
      <c r="AL18" s="365">
        <v>9.7998363361078304</v>
      </c>
      <c r="AM18" s="365">
        <v>15.666975766735501</v>
      </c>
      <c r="AN18" s="365">
        <v>8.4578582615973996</v>
      </c>
      <c r="AO18" s="365">
        <v>137.80522357806601</v>
      </c>
    </row>
    <row r="19" spans="1:41" x14ac:dyDescent="0.25">
      <c r="A19" s="361" t="s">
        <v>340</v>
      </c>
      <c r="B19" s="361" t="s">
        <v>341</v>
      </c>
      <c r="C19" s="361" t="s">
        <v>323</v>
      </c>
      <c r="D19" s="361" t="s">
        <v>324</v>
      </c>
      <c r="E19" s="362">
        <v>47</v>
      </c>
      <c r="F19" s="362">
        <v>946</v>
      </c>
      <c r="G19" s="362">
        <v>5</v>
      </c>
      <c r="H19" s="362">
        <v>871</v>
      </c>
      <c r="I19" s="363">
        <v>261.62342135476501</v>
      </c>
      <c r="J19" s="363">
        <v>515</v>
      </c>
      <c r="K19" s="363">
        <v>79.978627831715201</v>
      </c>
      <c r="L19" s="363">
        <v>10</v>
      </c>
      <c r="M19" s="363">
        <v>93.4</v>
      </c>
      <c r="N19" s="364">
        <v>8980.8854948916996</v>
      </c>
      <c r="O19" s="365">
        <v>68.566984501872497</v>
      </c>
      <c r="P19" s="365">
        <v>78.239270191034393</v>
      </c>
      <c r="Q19" s="365">
        <v>882.53960335543695</v>
      </c>
      <c r="R19" s="365">
        <v>15.4070520580358</v>
      </c>
      <c r="S19" s="365">
        <v>2.4689751767804102E-3</v>
      </c>
      <c r="T19" s="365">
        <v>173.37822397253899</v>
      </c>
      <c r="U19" s="365">
        <v>1.8448653028392301E-2</v>
      </c>
      <c r="V19" s="365">
        <v>15.6946547255427</v>
      </c>
      <c r="W19" s="365">
        <v>46.475664704199197</v>
      </c>
      <c r="X19" s="365">
        <v>2239.9890225184199</v>
      </c>
      <c r="Y19" s="365">
        <v>2154.3191628883301</v>
      </c>
      <c r="Z19" s="365">
        <v>173.477327117367</v>
      </c>
      <c r="AA19" s="365">
        <v>0.32974090571387499</v>
      </c>
      <c r="AB19" s="365">
        <v>4.8693023285026298</v>
      </c>
      <c r="AC19" s="365">
        <v>0.88125099054928302</v>
      </c>
      <c r="AD19" s="365">
        <v>70.932487161624607</v>
      </c>
      <c r="AE19" s="365">
        <v>204.674575381485</v>
      </c>
      <c r="AF19" s="365">
        <v>44.656259656039602</v>
      </c>
      <c r="AG19" s="365">
        <v>46.6815183153033</v>
      </c>
      <c r="AH19" s="365">
        <v>2.3202959830866801E-2</v>
      </c>
      <c r="AI19" s="365">
        <v>28.2429411229149</v>
      </c>
      <c r="AJ19" s="365">
        <v>4.2569815813702396</v>
      </c>
      <c r="AK19" s="365">
        <v>13.162380431342999</v>
      </c>
      <c r="AL19" s="365">
        <v>18.112526901766302</v>
      </c>
      <c r="AM19" s="365">
        <v>104.52411950596</v>
      </c>
      <c r="AN19" s="365">
        <v>1022.54150970514</v>
      </c>
      <c r="AO19" s="365">
        <v>1568.88884309234</v>
      </c>
    </row>
    <row r="20" spans="1:41" x14ac:dyDescent="0.25">
      <c r="A20" s="361" t="s">
        <v>340</v>
      </c>
      <c r="B20" s="361" t="s">
        <v>341</v>
      </c>
      <c r="C20" s="361" t="s">
        <v>325</v>
      </c>
      <c r="D20" s="361" t="s">
        <v>326</v>
      </c>
      <c r="E20" s="362">
        <v>28</v>
      </c>
      <c r="F20" s="362">
        <v>102</v>
      </c>
      <c r="G20" s="362">
        <v>6</v>
      </c>
      <c r="H20" s="362">
        <v>66</v>
      </c>
      <c r="I20" s="363">
        <v>222.25757575757601</v>
      </c>
      <c r="J20" s="363">
        <v>25</v>
      </c>
      <c r="K20" s="363">
        <v>290.02999999999997</v>
      </c>
      <c r="L20" s="363">
        <v>4</v>
      </c>
      <c r="M20" s="363">
        <v>242</v>
      </c>
      <c r="N20" s="364">
        <v>7700.4592514830802</v>
      </c>
      <c r="O20" s="365">
        <v>76.962841724018801</v>
      </c>
      <c r="P20" s="365">
        <v>74.5906476574945</v>
      </c>
      <c r="Q20" s="365">
        <v>853.39545134189495</v>
      </c>
      <c r="R20" s="365">
        <v>47.531561535128198</v>
      </c>
      <c r="S20" s="365">
        <v>0</v>
      </c>
      <c r="T20" s="365">
        <v>181.20962747894899</v>
      </c>
      <c r="U20" s="365">
        <v>3.4961873651471902E-2</v>
      </c>
      <c r="V20" s="365">
        <v>45.282652799920697</v>
      </c>
      <c r="W20" s="365">
        <v>115.039405783449</v>
      </c>
      <c r="X20" s="365">
        <v>1654.0529246584599</v>
      </c>
      <c r="Y20" s="365">
        <v>1349.28743142955</v>
      </c>
      <c r="Z20" s="365">
        <v>156.43685219930501</v>
      </c>
      <c r="AA20" s="365">
        <v>0.72622083011475003</v>
      </c>
      <c r="AB20" s="365">
        <v>5.5729184231417603</v>
      </c>
      <c r="AC20" s="365">
        <v>0.54687477331072099</v>
      </c>
      <c r="AD20" s="365">
        <v>41.9418555215792</v>
      </c>
      <c r="AE20" s="365">
        <v>155.50580642084299</v>
      </c>
      <c r="AF20" s="365">
        <v>60.440765398736502</v>
      </c>
      <c r="AG20" s="365">
        <v>39.328824508012801</v>
      </c>
      <c r="AH20" s="365">
        <v>2.0686274509803902E-2</v>
      </c>
      <c r="AI20" s="365">
        <v>1.0316876470588201</v>
      </c>
      <c r="AJ20" s="365">
        <v>5.8773933705216401E-3</v>
      </c>
      <c r="AK20" s="365">
        <v>22.159820700876701</v>
      </c>
      <c r="AL20" s="365">
        <v>16.0973041382566</v>
      </c>
      <c r="AM20" s="365">
        <v>69.818890448276207</v>
      </c>
      <c r="AN20" s="365">
        <v>1419.94435682782</v>
      </c>
      <c r="AO20" s="365">
        <v>1313.4930445121099</v>
      </c>
    </row>
    <row r="21" spans="1:41" x14ac:dyDescent="0.25">
      <c r="A21" s="361" t="s">
        <v>340</v>
      </c>
      <c r="B21" s="361" t="s">
        <v>341</v>
      </c>
      <c r="C21" s="361" t="s">
        <v>331</v>
      </c>
      <c r="D21" s="361" t="s">
        <v>332</v>
      </c>
      <c r="E21" s="362">
        <v>14</v>
      </c>
      <c r="F21" s="362">
        <v>40</v>
      </c>
      <c r="G21" s="362">
        <v>0</v>
      </c>
      <c r="H21" s="362">
        <v>3</v>
      </c>
      <c r="I21" s="363">
        <v>184.333333333333</v>
      </c>
      <c r="J21" s="363">
        <v>1</v>
      </c>
      <c r="K21" s="363">
        <v>44</v>
      </c>
      <c r="L21" s="363">
        <v>17</v>
      </c>
      <c r="M21" s="363">
        <v>32.823529411764703</v>
      </c>
      <c r="N21" s="364">
        <v>905.68453249138395</v>
      </c>
      <c r="O21" s="365">
        <v>16.348858205925701</v>
      </c>
      <c r="P21" s="365">
        <v>7.9116307705824003</v>
      </c>
      <c r="Q21" s="365">
        <v>47.522410103223699</v>
      </c>
      <c r="R21" s="365">
        <v>0.20072254219362601</v>
      </c>
      <c r="S21" s="365">
        <v>0</v>
      </c>
      <c r="T21" s="365">
        <v>21.329681825109901</v>
      </c>
      <c r="U21" s="365">
        <v>0</v>
      </c>
      <c r="V21" s="365">
        <v>0.34684959488961398</v>
      </c>
      <c r="W21" s="365">
        <v>53.032419007964499</v>
      </c>
      <c r="X21" s="365">
        <v>186.990092375996</v>
      </c>
      <c r="Y21" s="365">
        <v>86.635611585765801</v>
      </c>
      <c r="Z21" s="365">
        <v>47.310385737384202</v>
      </c>
      <c r="AA21" s="365">
        <v>0.760245779505624</v>
      </c>
      <c r="AB21" s="365">
        <v>0.255746125461222</v>
      </c>
      <c r="AC21" s="365">
        <v>0.73275012714309296</v>
      </c>
      <c r="AD21" s="365">
        <v>3.7580185710978999</v>
      </c>
      <c r="AE21" s="365">
        <v>14.7336987112198</v>
      </c>
      <c r="AF21" s="365">
        <v>1.8032159376542201</v>
      </c>
      <c r="AG21" s="365">
        <v>6.1615318138727702</v>
      </c>
      <c r="AH21" s="365">
        <v>0</v>
      </c>
      <c r="AI21" s="365">
        <v>6.4983424999999997E-2</v>
      </c>
      <c r="AJ21" s="365">
        <v>51.121004962107499</v>
      </c>
      <c r="AK21" s="365">
        <v>191.46146762440199</v>
      </c>
      <c r="AL21" s="365">
        <v>4.84552518211843</v>
      </c>
      <c r="AM21" s="365">
        <v>4.27926806574545</v>
      </c>
      <c r="AN21" s="365">
        <v>26.727696275778499</v>
      </c>
      <c r="AO21" s="365">
        <v>131.35089862792901</v>
      </c>
    </row>
    <row r="22" spans="1:41" x14ac:dyDescent="0.25">
      <c r="A22" s="361" t="s">
        <v>342</v>
      </c>
      <c r="B22" s="361" t="s">
        <v>343</v>
      </c>
      <c r="C22" s="361" t="s">
        <v>323</v>
      </c>
      <c r="D22" s="361" t="s">
        <v>324</v>
      </c>
      <c r="E22" s="362">
        <v>41</v>
      </c>
      <c r="F22" s="362">
        <v>164</v>
      </c>
      <c r="G22" s="362">
        <v>7</v>
      </c>
      <c r="H22" s="362">
        <v>139</v>
      </c>
      <c r="I22" s="363">
        <v>228.01438848920901</v>
      </c>
      <c r="J22" s="363">
        <v>57</v>
      </c>
      <c r="K22" s="363">
        <v>152.64286549122801</v>
      </c>
      <c r="L22" s="363">
        <v>11</v>
      </c>
      <c r="M22" s="363">
        <v>53.454545454545503</v>
      </c>
      <c r="N22" s="364">
        <v>9406.5086467518195</v>
      </c>
      <c r="O22" s="365">
        <v>71.632651779403801</v>
      </c>
      <c r="P22" s="365">
        <v>84.681957869125696</v>
      </c>
      <c r="Q22" s="365">
        <v>1106.71457813343</v>
      </c>
      <c r="R22" s="365">
        <v>29.683310755743701</v>
      </c>
      <c r="S22" s="365">
        <v>7.1341463414634097E-3</v>
      </c>
      <c r="T22" s="365">
        <v>184.766707865309</v>
      </c>
      <c r="U22" s="365">
        <v>0</v>
      </c>
      <c r="V22" s="365">
        <v>42.488043729091999</v>
      </c>
      <c r="W22" s="365">
        <v>134.806456526912</v>
      </c>
      <c r="X22" s="365">
        <v>2091.1431855450401</v>
      </c>
      <c r="Y22" s="365">
        <v>1656.67360887726</v>
      </c>
      <c r="Z22" s="365">
        <v>251.41225724464601</v>
      </c>
      <c r="AA22" s="365">
        <v>0.20031773175445</v>
      </c>
      <c r="AB22" s="365">
        <v>8.9232450241663006</v>
      </c>
      <c r="AC22" s="365">
        <v>0.61990311158328304</v>
      </c>
      <c r="AD22" s="365">
        <v>64.749887379526598</v>
      </c>
      <c r="AE22" s="365">
        <v>224.265054409698</v>
      </c>
      <c r="AF22" s="365">
        <v>55.204330795803301</v>
      </c>
      <c r="AG22" s="365">
        <v>53.434578166729899</v>
      </c>
      <c r="AH22" s="365">
        <v>4.5914634146341497E-2</v>
      </c>
      <c r="AI22" s="365">
        <v>2.4256940828598599</v>
      </c>
      <c r="AJ22" s="365">
        <v>6.9384631282208096</v>
      </c>
      <c r="AK22" s="365">
        <v>58.271476487460497</v>
      </c>
      <c r="AL22" s="365">
        <v>37.076935560043502</v>
      </c>
      <c r="AM22" s="365">
        <v>121.97293221365599</v>
      </c>
      <c r="AN22" s="365">
        <v>1288.0907259429</v>
      </c>
      <c r="AO22" s="365">
        <v>1830.27900617707</v>
      </c>
    </row>
    <row r="23" spans="1:41" x14ac:dyDescent="0.25">
      <c r="A23" s="361" t="s">
        <v>342</v>
      </c>
      <c r="B23" s="361" t="s">
        <v>343</v>
      </c>
      <c r="C23" s="361" t="s">
        <v>325</v>
      </c>
      <c r="D23" s="361" t="s">
        <v>326</v>
      </c>
      <c r="E23" s="362">
        <v>39</v>
      </c>
      <c r="F23" s="362">
        <v>101</v>
      </c>
      <c r="G23" s="362">
        <v>12</v>
      </c>
      <c r="H23" s="362">
        <v>57</v>
      </c>
      <c r="I23" s="363">
        <v>189.45614035087701</v>
      </c>
      <c r="J23" s="363">
        <v>28</v>
      </c>
      <c r="K23" s="363">
        <v>159.75380949999999</v>
      </c>
      <c r="L23" s="363">
        <v>15</v>
      </c>
      <c r="M23" s="363">
        <v>99</v>
      </c>
      <c r="N23" s="364">
        <v>11436.162747894399</v>
      </c>
      <c r="O23" s="365">
        <v>243.17797707674001</v>
      </c>
      <c r="P23" s="365">
        <v>121.771923173681</v>
      </c>
      <c r="Q23" s="365">
        <v>2019.4817900892799</v>
      </c>
      <c r="R23" s="365">
        <v>151.60122078460199</v>
      </c>
      <c r="S23" s="365">
        <v>5.3465346534653504E-3</v>
      </c>
      <c r="T23" s="365">
        <v>266.308530253838</v>
      </c>
      <c r="U23" s="365">
        <v>4.51666930693069</v>
      </c>
      <c r="V23" s="365">
        <v>105.76653077889399</v>
      </c>
      <c r="W23" s="365">
        <v>337.07283966961398</v>
      </c>
      <c r="X23" s="365">
        <v>1739.0506293420799</v>
      </c>
      <c r="Y23" s="365">
        <v>943.22565527863696</v>
      </c>
      <c r="Z23" s="365">
        <v>228.8546030174</v>
      </c>
      <c r="AA23" s="365">
        <v>0.44250829886530002</v>
      </c>
      <c r="AB23" s="365">
        <v>11.5065967687982</v>
      </c>
      <c r="AC23" s="365">
        <v>0.44847532272277102</v>
      </c>
      <c r="AD23" s="365">
        <v>99.258530098090304</v>
      </c>
      <c r="AE23" s="365">
        <v>258.87234002528902</v>
      </c>
      <c r="AF23" s="365">
        <v>98.593678835951806</v>
      </c>
      <c r="AG23" s="365">
        <v>39.123222991808099</v>
      </c>
      <c r="AH23" s="365">
        <v>4.5940594059405898E-2</v>
      </c>
      <c r="AI23" s="365">
        <v>2.5018775544554499</v>
      </c>
      <c r="AJ23" s="365">
        <v>11.6228674589437</v>
      </c>
      <c r="AK23" s="365">
        <v>111.04732699859299</v>
      </c>
      <c r="AL23" s="365">
        <v>76.818107944379307</v>
      </c>
      <c r="AM23" s="365">
        <v>131.17660834108599</v>
      </c>
      <c r="AN23" s="365">
        <v>2319.78970107544</v>
      </c>
      <c r="AO23" s="365">
        <v>2114.08118946382</v>
      </c>
    </row>
    <row r="24" spans="1:41" x14ac:dyDescent="0.25">
      <c r="A24" s="361" t="s">
        <v>342</v>
      </c>
      <c r="B24" s="361" t="s">
        <v>343</v>
      </c>
      <c r="C24" s="361" t="s">
        <v>331</v>
      </c>
      <c r="D24" s="361" t="s">
        <v>332</v>
      </c>
      <c r="E24" s="362">
        <v>11</v>
      </c>
      <c r="F24" s="362">
        <v>18</v>
      </c>
      <c r="G24" s="362">
        <v>0</v>
      </c>
      <c r="H24" s="362">
        <v>1</v>
      </c>
      <c r="I24" s="363">
        <v>85</v>
      </c>
      <c r="J24" s="363">
        <v>0</v>
      </c>
      <c r="K24" s="363" t="s">
        <v>401</v>
      </c>
      <c r="L24" s="363">
        <v>10</v>
      </c>
      <c r="M24" s="363">
        <v>124</v>
      </c>
      <c r="N24" s="364">
        <v>1152.2669825032499</v>
      </c>
      <c r="O24" s="365">
        <v>0.54444444444444395</v>
      </c>
      <c r="P24" s="365">
        <v>12.5214459191878</v>
      </c>
      <c r="Q24" s="365">
        <v>0.268028843669251</v>
      </c>
      <c r="R24" s="365">
        <v>5.4212142377071202E-3</v>
      </c>
      <c r="S24" s="365">
        <v>0</v>
      </c>
      <c r="T24" s="365">
        <v>31.280200243976999</v>
      </c>
      <c r="U24" s="365">
        <v>0</v>
      </c>
      <c r="V24" s="365">
        <v>22.214389940575401</v>
      </c>
      <c r="W24" s="365">
        <v>53.5081999139517</v>
      </c>
      <c r="X24" s="365">
        <v>96.002009479216298</v>
      </c>
      <c r="Y24" s="365">
        <v>90.296431687921896</v>
      </c>
      <c r="Z24" s="365">
        <v>32.450408287619602</v>
      </c>
      <c r="AA24" s="365">
        <v>4.8888888888888898E-2</v>
      </c>
      <c r="AB24" s="365">
        <v>7.9444444444444401E-2</v>
      </c>
      <c r="AC24" s="365">
        <v>0.27471079238916901</v>
      </c>
      <c r="AD24" s="365">
        <v>10.5596438352012</v>
      </c>
      <c r="AE24" s="365">
        <v>35.292055355980999</v>
      </c>
      <c r="AF24" s="365">
        <v>2.3849681133244101</v>
      </c>
      <c r="AG24" s="365">
        <v>3.8990911683302398</v>
      </c>
      <c r="AH24" s="365">
        <v>0</v>
      </c>
      <c r="AI24" s="365">
        <v>313.24394909353401</v>
      </c>
      <c r="AJ24" s="365">
        <v>137.27353322105901</v>
      </c>
      <c r="AK24" s="365">
        <v>142.619956987595</v>
      </c>
      <c r="AL24" s="365">
        <v>9.1213520639271906</v>
      </c>
      <c r="AM24" s="365">
        <v>1.4290524902281001</v>
      </c>
      <c r="AN24" s="365">
        <v>42.191142216586996</v>
      </c>
      <c r="AO24" s="365">
        <v>114.75821385696</v>
      </c>
    </row>
    <row r="25" spans="1:41" x14ac:dyDescent="0.25">
      <c r="A25" s="361" t="s">
        <v>344</v>
      </c>
      <c r="B25" s="361" t="s">
        <v>345</v>
      </c>
      <c r="C25" s="361" t="s">
        <v>323</v>
      </c>
      <c r="D25" s="361" t="s">
        <v>324</v>
      </c>
      <c r="E25" s="362">
        <v>43</v>
      </c>
      <c r="F25" s="362">
        <v>257</v>
      </c>
      <c r="G25" s="362">
        <v>4</v>
      </c>
      <c r="H25" s="362">
        <v>188</v>
      </c>
      <c r="I25" s="363">
        <v>206.41489361702099</v>
      </c>
      <c r="J25" s="363">
        <v>48</v>
      </c>
      <c r="K25" s="363">
        <v>67.15625</v>
      </c>
      <c r="L25" s="363">
        <v>31</v>
      </c>
      <c r="M25" s="363">
        <v>142.41935483871001</v>
      </c>
      <c r="N25" s="364">
        <v>6037.0313632971001</v>
      </c>
      <c r="O25" s="365">
        <v>22.955233862174001</v>
      </c>
      <c r="P25" s="365">
        <v>50.567279320135299</v>
      </c>
      <c r="Q25" s="365">
        <v>372.25336620000002</v>
      </c>
      <c r="R25" s="365">
        <v>13.411235590326999</v>
      </c>
      <c r="S25" s="365">
        <v>0.15972676635324201</v>
      </c>
      <c r="T25" s="365">
        <v>104.823468246248</v>
      </c>
      <c r="U25" s="365">
        <v>0.21708799474007201</v>
      </c>
      <c r="V25" s="365">
        <v>33.413163642729998</v>
      </c>
      <c r="W25" s="365">
        <v>71.414462882908296</v>
      </c>
      <c r="X25" s="365">
        <v>1383.1884594655301</v>
      </c>
      <c r="Y25" s="365">
        <v>1215.69980885323</v>
      </c>
      <c r="Z25" s="365">
        <v>148.323235088335</v>
      </c>
      <c r="AA25" s="365">
        <v>0.14662716813649501</v>
      </c>
      <c r="AB25" s="365">
        <v>9.5749427776720495</v>
      </c>
      <c r="AC25" s="365">
        <v>1.0245894045031101</v>
      </c>
      <c r="AD25" s="365">
        <v>54.479587666891803</v>
      </c>
      <c r="AE25" s="365">
        <v>123.56293841901901</v>
      </c>
      <c r="AF25" s="365">
        <v>36.047819780252702</v>
      </c>
      <c r="AG25" s="365">
        <v>20.808404547428999</v>
      </c>
      <c r="AH25" s="365">
        <v>1.23895455190972</v>
      </c>
      <c r="AI25" s="365">
        <v>3.1942769068010102</v>
      </c>
      <c r="AJ25" s="365">
        <v>6.1872208008786398</v>
      </c>
      <c r="AK25" s="365">
        <v>101.059974415791</v>
      </c>
      <c r="AL25" s="365">
        <v>30.2032190967169</v>
      </c>
      <c r="AM25" s="365">
        <v>47.1316672263575</v>
      </c>
      <c r="AN25" s="365">
        <v>1012.42316958075</v>
      </c>
      <c r="AO25" s="365">
        <v>1173.52139687762</v>
      </c>
    </row>
    <row r="26" spans="1:41" x14ac:dyDescent="0.25">
      <c r="A26" s="361" t="s">
        <v>344</v>
      </c>
      <c r="B26" s="361" t="s">
        <v>345</v>
      </c>
      <c r="C26" s="361" t="s">
        <v>325</v>
      </c>
      <c r="D26" s="361" t="s">
        <v>326</v>
      </c>
      <c r="E26" s="362">
        <v>29</v>
      </c>
      <c r="F26" s="362">
        <v>67</v>
      </c>
      <c r="G26" s="362">
        <v>7</v>
      </c>
      <c r="H26" s="362">
        <v>43</v>
      </c>
      <c r="I26" s="363">
        <v>178.90697674418601</v>
      </c>
      <c r="J26" s="363">
        <v>10</v>
      </c>
      <c r="K26" s="363">
        <v>628.15</v>
      </c>
      <c r="L26" s="363">
        <v>8</v>
      </c>
      <c r="M26" s="363">
        <v>133.625</v>
      </c>
      <c r="N26" s="364">
        <v>6709.2616059865404</v>
      </c>
      <c r="O26" s="365">
        <v>89.794066949036306</v>
      </c>
      <c r="P26" s="365">
        <v>105.916979425585</v>
      </c>
      <c r="Q26" s="365">
        <v>224.713421852962</v>
      </c>
      <c r="R26" s="365">
        <v>5.4878735808822698</v>
      </c>
      <c r="S26" s="365">
        <v>7.4626865671641798E-3</v>
      </c>
      <c r="T26" s="365">
        <v>180.24906488022401</v>
      </c>
      <c r="U26" s="365">
        <v>4.8656716417910502E-4</v>
      </c>
      <c r="V26" s="365">
        <v>36.630323145458298</v>
      </c>
      <c r="W26" s="365">
        <v>165.73178039007101</v>
      </c>
      <c r="X26" s="365">
        <v>1393.8168374740401</v>
      </c>
      <c r="Y26" s="365">
        <v>1204.52790131498</v>
      </c>
      <c r="Z26" s="365">
        <v>168.25577873353299</v>
      </c>
      <c r="AA26" s="365">
        <v>0.79572862265072397</v>
      </c>
      <c r="AB26" s="365">
        <v>8.5045356494418201</v>
      </c>
      <c r="AC26" s="365">
        <v>0.39207555093160601</v>
      </c>
      <c r="AD26" s="365">
        <v>24.672009339993402</v>
      </c>
      <c r="AE26" s="365">
        <v>163.958084912538</v>
      </c>
      <c r="AF26" s="365">
        <v>39.869616430176201</v>
      </c>
      <c r="AG26" s="365">
        <v>37.765528310943303</v>
      </c>
      <c r="AH26" s="365">
        <v>0</v>
      </c>
      <c r="AI26" s="365">
        <v>0.30480729827842301</v>
      </c>
      <c r="AJ26" s="365">
        <v>22.094411209486299</v>
      </c>
      <c r="AK26" s="365">
        <v>98.325103916838799</v>
      </c>
      <c r="AL26" s="365">
        <v>68.540635860503897</v>
      </c>
      <c r="AM26" s="365">
        <v>60.475585024489902</v>
      </c>
      <c r="AN26" s="365">
        <v>1524.8572465347499</v>
      </c>
      <c r="AO26" s="365">
        <v>1083.5750719412499</v>
      </c>
    </row>
    <row r="27" spans="1:41" x14ac:dyDescent="0.25">
      <c r="A27" s="361" t="s">
        <v>344</v>
      </c>
      <c r="B27" s="361" t="s">
        <v>345</v>
      </c>
      <c r="C27" s="361" t="s">
        <v>331</v>
      </c>
      <c r="D27" s="361" t="s">
        <v>332</v>
      </c>
      <c r="E27" s="362">
        <v>34</v>
      </c>
      <c r="F27" s="362">
        <v>95</v>
      </c>
      <c r="G27" s="362">
        <v>0</v>
      </c>
      <c r="H27" s="362">
        <v>11</v>
      </c>
      <c r="I27" s="363">
        <v>98.909090909090907</v>
      </c>
      <c r="J27" s="363">
        <v>0</v>
      </c>
      <c r="K27" s="363" t="s">
        <v>401</v>
      </c>
      <c r="L27" s="363">
        <v>28</v>
      </c>
      <c r="M27" s="363">
        <v>74.857142857142904</v>
      </c>
      <c r="N27" s="364">
        <v>918.85599473898696</v>
      </c>
      <c r="O27" s="365">
        <v>5.2809730696657402</v>
      </c>
      <c r="P27" s="365">
        <v>7.1361628169463396</v>
      </c>
      <c r="Q27" s="365">
        <v>3.02105263157895E-2</v>
      </c>
      <c r="R27" s="365">
        <v>1.56622156060893</v>
      </c>
      <c r="S27" s="365">
        <v>1.454</v>
      </c>
      <c r="T27" s="365">
        <v>8.7121371415253908</v>
      </c>
      <c r="U27" s="365">
        <v>0</v>
      </c>
      <c r="V27" s="365">
        <v>5.3653789435827104</v>
      </c>
      <c r="W27" s="365">
        <v>59.094943196853698</v>
      </c>
      <c r="X27" s="365">
        <v>121.63438886025099</v>
      </c>
      <c r="Y27" s="365">
        <v>98.364366099562304</v>
      </c>
      <c r="Z27" s="365">
        <v>25.176714835975901</v>
      </c>
      <c r="AA27" s="365">
        <v>2.69249856895264E-2</v>
      </c>
      <c r="AB27" s="365">
        <v>0.25006731832928702</v>
      </c>
      <c r="AC27" s="365">
        <v>0.204425999912587</v>
      </c>
      <c r="AD27" s="365">
        <v>14.184406313871699</v>
      </c>
      <c r="AE27" s="365">
        <v>45.8666881859697</v>
      </c>
      <c r="AF27" s="365">
        <v>2.04261904996401</v>
      </c>
      <c r="AG27" s="365">
        <v>1.92464143476454</v>
      </c>
      <c r="AH27" s="365">
        <v>0</v>
      </c>
      <c r="AI27" s="365">
        <v>6.7069104069953103E-2</v>
      </c>
      <c r="AJ27" s="365">
        <v>127.642241473922</v>
      </c>
      <c r="AK27" s="365">
        <v>185.126464016125</v>
      </c>
      <c r="AL27" s="365">
        <v>5.06789865164275</v>
      </c>
      <c r="AM27" s="365">
        <v>4.1931282726325403</v>
      </c>
      <c r="AN27" s="365">
        <v>27.595363063371</v>
      </c>
      <c r="AO27" s="365">
        <v>170.84921995370601</v>
      </c>
    </row>
    <row r="28" spans="1:41" x14ac:dyDescent="0.25">
      <c r="A28" s="361" t="s">
        <v>346</v>
      </c>
      <c r="B28" s="361" t="s">
        <v>347</v>
      </c>
      <c r="C28" s="361" t="s">
        <v>323</v>
      </c>
      <c r="D28" s="361" t="s">
        <v>324</v>
      </c>
      <c r="E28" s="362">
        <v>52</v>
      </c>
      <c r="F28" s="362">
        <v>175</v>
      </c>
      <c r="G28" s="362">
        <v>6</v>
      </c>
      <c r="H28" s="362">
        <v>134</v>
      </c>
      <c r="I28" s="363">
        <v>189.70895522388099</v>
      </c>
      <c r="J28" s="363">
        <v>42</v>
      </c>
      <c r="K28" s="363">
        <v>73.334844576711703</v>
      </c>
      <c r="L28" s="363">
        <v>10</v>
      </c>
      <c r="M28" s="363">
        <v>198.5</v>
      </c>
      <c r="N28" s="364">
        <v>7072.12345312446</v>
      </c>
      <c r="O28" s="365">
        <v>169.433422097338</v>
      </c>
      <c r="P28" s="365">
        <v>65.000969047595305</v>
      </c>
      <c r="Q28" s="365">
        <v>576.40552445869002</v>
      </c>
      <c r="R28" s="365">
        <v>54.590488377717897</v>
      </c>
      <c r="S28" s="365">
        <v>1.9535342745917599E-2</v>
      </c>
      <c r="T28" s="365">
        <v>133.04320229241799</v>
      </c>
      <c r="U28" s="365">
        <v>0.120700392188387</v>
      </c>
      <c r="V28" s="365">
        <v>32.116937909531003</v>
      </c>
      <c r="W28" s="365">
        <v>84.273432227815604</v>
      </c>
      <c r="X28" s="365">
        <v>1555.9386084319499</v>
      </c>
      <c r="Y28" s="365">
        <v>1347.6842284038901</v>
      </c>
      <c r="Z28" s="365">
        <v>130.688843993354</v>
      </c>
      <c r="AA28" s="365">
        <v>0.96329894587612697</v>
      </c>
      <c r="AB28" s="365">
        <v>2.7287768897198799</v>
      </c>
      <c r="AC28" s="365">
        <v>2.2853388582945602</v>
      </c>
      <c r="AD28" s="365">
        <v>47.592610186311603</v>
      </c>
      <c r="AE28" s="365">
        <v>221.300186734786</v>
      </c>
      <c r="AF28" s="365">
        <v>59.568445582044603</v>
      </c>
      <c r="AG28" s="365">
        <v>44.474796077185999</v>
      </c>
      <c r="AH28" s="365">
        <v>7.14285714285714E-3</v>
      </c>
      <c r="AI28" s="365">
        <v>2.2550735905859098</v>
      </c>
      <c r="AJ28" s="365">
        <v>5.72471325539159</v>
      </c>
      <c r="AK28" s="365">
        <v>46.351101341373202</v>
      </c>
      <c r="AL28" s="365">
        <v>48.124549084002503</v>
      </c>
      <c r="AM28" s="365">
        <v>79.943559640078007</v>
      </c>
      <c r="AN28" s="365">
        <v>1190.49742288677</v>
      </c>
      <c r="AO28" s="365">
        <v>1170.9903131681999</v>
      </c>
    </row>
    <row r="29" spans="1:41" x14ac:dyDescent="0.25">
      <c r="A29" s="361" t="s">
        <v>346</v>
      </c>
      <c r="B29" s="361" t="s">
        <v>347</v>
      </c>
      <c r="C29" s="361" t="s">
        <v>325</v>
      </c>
      <c r="D29" s="361" t="s">
        <v>326</v>
      </c>
      <c r="E29" s="362">
        <v>51</v>
      </c>
      <c r="F29" s="362">
        <v>185</v>
      </c>
      <c r="G29" s="362">
        <v>10</v>
      </c>
      <c r="H29" s="362">
        <v>109</v>
      </c>
      <c r="I29" s="363">
        <v>203.40366972477099</v>
      </c>
      <c r="J29" s="363">
        <v>46</v>
      </c>
      <c r="K29" s="363">
        <v>329.535434782609</v>
      </c>
      <c r="L29" s="363">
        <v>15</v>
      </c>
      <c r="M29" s="363">
        <v>76.412666666666695</v>
      </c>
      <c r="N29" s="364">
        <v>10177.3557188422</v>
      </c>
      <c r="O29" s="365">
        <v>140.174841125661</v>
      </c>
      <c r="P29" s="365">
        <v>95.254676332726007</v>
      </c>
      <c r="Q29" s="365">
        <v>2023.9549487372999</v>
      </c>
      <c r="R29" s="365">
        <v>38.601853508399699</v>
      </c>
      <c r="S29" s="365">
        <v>7.0069080761594096</v>
      </c>
      <c r="T29" s="365">
        <v>213.95115209256701</v>
      </c>
      <c r="U29" s="365">
        <v>0.74919389919633295</v>
      </c>
      <c r="V29" s="365">
        <v>47.932219244023699</v>
      </c>
      <c r="W29" s="365">
        <v>209.19814869874</v>
      </c>
      <c r="X29" s="365">
        <v>1794.20595168207</v>
      </c>
      <c r="Y29" s="365">
        <v>1054.0280765336099</v>
      </c>
      <c r="Z29" s="365">
        <v>183.92713989752201</v>
      </c>
      <c r="AA29" s="365">
        <v>3.45101358088694</v>
      </c>
      <c r="AB29" s="365">
        <v>19.624781268918401</v>
      </c>
      <c r="AC29" s="365">
        <v>0.77872565510071701</v>
      </c>
      <c r="AD29" s="365">
        <v>41.191453393241098</v>
      </c>
      <c r="AE29" s="365">
        <v>281.10819077905501</v>
      </c>
      <c r="AF29" s="365">
        <v>87.332305225681395</v>
      </c>
      <c r="AG29" s="365">
        <v>30.644072628476302</v>
      </c>
      <c r="AH29" s="365">
        <v>3.2231229816007798</v>
      </c>
      <c r="AI29" s="365">
        <v>1.3021828582386299</v>
      </c>
      <c r="AJ29" s="365">
        <v>0.15304630906613001</v>
      </c>
      <c r="AK29" s="365">
        <v>71.347473662381702</v>
      </c>
      <c r="AL29" s="365">
        <v>65.017199631971906</v>
      </c>
      <c r="AM29" s="365">
        <v>147.91239409350999</v>
      </c>
      <c r="AN29" s="365">
        <v>1775.5983444552901</v>
      </c>
      <c r="AO29" s="365">
        <v>1839.6864431531701</v>
      </c>
    </row>
    <row r="30" spans="1:41" x14ac:dyDescent="0.25">
      <c r="A30" s="361" t="s">
        <v>346</v>
      </c>
      <c r="B30" s="361" t="s">
        <v>347</v>
      </c>
      <c r="C30" s="361" t="s">
        <v>331</v>
      </c>
      <c r="D30" s="361" t="s">
        <v>332</v>
      </c>
      <c r="E30" s="362">
        <v>8</v>
      </c>
      <c r="F30" s="362">
        <v>11</v>
      </c>
      <c r="G30" s="362">
        <v>0</v>
      </c>
      <c r="H30" s="362">
        <v>4</v>
      </c>
      <c r="I30" s="363">
        <v>105.75</v>
      </c>
      <c r="J30" s="363">
        <v>0</v>
      </c>
      <c r="K30" s="363" t="s">
        <v>401</v>
      </c>
      <c r="L30" s="363">
        <v>2</v>
      </c>
      <c r="M30" s="363">
        <v>60.5</v>
      </c>
      <c r="N30" s="364">
        <v>1573.0837205089899</v>
      </c>
      <c r="O30" s="365">
        <v>0.37420667285454501</v>
      </c>
      <c r="P30" s="365">
        <v>10.0596511992616</v>
      </c>
      <c r="Q30" s="365">
        <v>0</v>
      </c>
      <c r="R30" s="365">
        <v>5.5727272727272702E-2</v>
      </c>
      <c r="S30" s="365">
        <v>0</v>
      </c>
      <c r="T30" s="365">
        <v>12.1781443804761</v>
      </c>
      <c r="U30" s="365">
        <v>0</v>
      </c>
      <c r="V30" s="365">
        <v>45.03</v>
      </c>
      <c r="W30" s="365">
        <v>276.73393631140198</v>
      </c>
      <c r="X30" s="365">
        <v>420.60296066928299</v>
      </c>
      <c r="Y30" s="365">
        <v>360.42775003643698</v>
      </c>
      <c r="Z30" s="365">
        <v>21.861817296878201</v>
      </c>
      <c r="AA30" s="365">
        <v>2.2893263033813498</v>
      </c>
      <c r="AB30" s="365">
        <v>0</v>
      </c>
      <c r="AC30" s="365">
        <v>1.62878216824325</v>
      </c>
      <c r="AD30" s="365">
        <v>0.41909090909090901</v>
      </c>
      <c r="AE30" s="365">
        <v>19.579809417238899</v>
      </c>
      <c r="AF30" s="365">
        <v>1.55927272727273</v>
      </c>
      <c r="AG30" s="365">
        <v>7.4804629223072201</v>
      </c>
      <c r="AH30" s="365">
        <v>0</v>
      </c>
      <c r="AI30" s="365">
        <v>0</v>
      </c>
      <c r="AJ30" s="365">
        <v>0</v>
      </c>
      <c r="AK30" s="365">
        <v>48.705813757820003</v>
      </c>
      <c r="AL30" s="365">
        <v>4.5373015652689697</v>
      </c>
      <c r="AM30" s="365">
        <v>14.5018964645156</v>
      </c>
      <c r="AN30" s="365">
        <v>88.769104812262498</v>
      </c>
      <c r="AO30" s="365">
        <v>236.287756531361</v>
      </c>
    </row>
    <row r="31" spans="1:41" x14ac:dyDescent="0.25">
      <c r="A31" s="361" t="s">
        <v>348</v>
      </c>
      <c r="B31" s="361" t="s">
        <v>349</v>
      </c>
      <c r="C31" s="361" t="s">
        <v>323</v>
      </c>
      <c r="D31" s="361" t="s">
        <v>324</v>
      </c>
      <c r="E31" s="362">
        <v>58</v>
      </c>
      <c r="F31" s="362">
        <v>389</v>
      </c>
      <c r="G31" s="362">
        <v>4</v>
      </c>
      <c r="H31" s="362">
        <v>318</v>
      </c>
      <c r="I31" s="363">
        <v>182.02830188679201</v>
      </c>
      <c r="J31" s="363">
        <v>65</v>
      </c>
      <c r="K31" s="363">
        <v>81.035179476923105</v>
      </c>
      <c r="L31" s="363">
        <v>22</v>
      </c>
      <c r="M31" s="363">
        <v>82.681818181818201</v>
      </c>
      <c r="N31" s="364">
        <v>5937.5508672572996</v>
      </c>
      <c r="O31" s="365">
        <v>55.526075979839398</v>
      </c>
      <c r="P31" s="365">
        <v>46.8203929722429</v>
      </c>
      <c r="Q31" s="365">
        <v>313.89705454371801</v>
      </c>
      <c r="R31" s="365">
        <v>11.6728888033653</v>
      </c>
      <c r="S31" s="365">
        <v>27.920201849569601</v>
      </c>
      <c r="T31" s="365">
        <v>102.776244077002</v>
      </c>
      <c r="U31" s="365">
        <v>7.6287407194922498E-4</v>
      </c>
      <c r="V31" s="365">
        <v>13.7698157195651</v>
      </c>
      <c r="W31" s="365">
        <v>51.872352341496097</v>
      </c>
      <c r="X31" s="365">
        <v>1548.17551308516</v>
      </c>
      <c r="Y31" s="365">
        <v>1373.62191017076</v>
      </c>
      <c r="Z31" s="365">
        <v>110.906545058107</v>
      </c>
      <c r="AA31" s="365">
        <v>0.15955444157340001</v>
      </c>
      <c r="AB31" s="365">
        <v>4.2755652311897698</v>
      </c>
      <c r="AC31" s="365">
        <v>1.6249560389458799</v>
      </c>
      <c r="AD31" s="365">
        <v>47.777184944879401</v>
      </c>
      <c r="AE31" s="365">
        <v>105.925297732952</v>
      </c>
      <c r="AF31" s="365">
        <v>35.443553895425403</v>
      </c>
      <c r="AG31" s="365">
        <v>60.619951897329798</v>
      </c>
      <c r="AH31" s="365">
        <v>7.5321336760925403E-3</v>
      </c>
      <c r="AI31" s="365">
        <v>2.0449478996504</v>
      </c>
      <c r="AJ31" s="365">
        <v>2.6385982941660902</v>
      </c>
      <c r="AK31" s="365">
        <v>47.640134368656597</v>
      </c>
      <c r="AL31" s="365">
        <v>33.307554723864399</v>
      </c>
      <c r="AM31" s="365">
        <v>42.3817244604652</v>
      </c>
      <c r="AN31" s="365">
        <v>837.48110130075304</v>
      </c>
      <c r="AO31" s="365">
        <v>1059.2633575684299</v>
      </c>
    </row>
    <row r="32" spans="1:41" x14ac:dyDescent="0.25">
      <c r="A32" s="361" t="s">
        <v>348</v>
      </c>
      <c r="B32" s="361" t="s">
        <v>349</v>
      </c>
      <c r="C32" s="361" t="s">
        <v>325</v>
      </c>
      <c r="D32" s="361" t="s">
        <v>326</v>
      </c>
      <c r="E32" s="362">
        <v>49</v>
      </c>
      <c r="F32" s="362">
        <v>166</v>
      </c>
      <c r="G32" s="362">
        <v>6</v>
      </c>
      <c r="H32" s="362">
        <v>122</v>
      </c>
      <c r="I32" s="363">
        <v>161.70491803278699</v>
      </c>
      <c r="J32" s="363">
        <v>26</v>
      </c>
      <c r="K32" s="363">
        <v>183.0828205</v>
      </c>
      <c r="L32" s="363">
        <v>12</v>
      </c>
      <c r="M32" s="363">
        <v>112</v>
      </c>
      <c r="N32" s="364">
        <v>5647.40609785782</v>
      </c>
      <c r="O32" s="365">
        <v>83.283153750611802</v>
      </c>
      <c r="P32" s="365">
        <v>76.505059670693896</v>
      </c>
      <c r="Q32" s="365">
        <v>353.33892038634599</v>
      </c>
      <c r="R32" s="365">
        <v>9.5472652387926704</v>
      </c>
      <c r="S32" s="365">
        <v>7.2193151281029202</v>
      </c>
      <c r="T32" s="365">
        <v>112.740855117682</v>
      </c>
      <c r="U32" s="365">
        <v>3.5813662172341201</v>
      </c>
      <c r="V32" s="365">
        <v>28.754280835559999</v>
      </c>
      <c r="W32" s="365">
        <v>126.372420810676</v>
      </c>
      <c r="X32" s="365">
        <v>1249.95459930636</v>
      </c>
      <c r="Y32" s="365">
        <v>1104.1582191934201</v>
      </c>
      <c r="Z32" s="365">
        <v>74.434111384587695</v>
      </c>
      <c r="AA32" s="365">
        <v>0.34467144226207902</v>
      </c>
      <c r="AB32" s="365">
        <v>2.0792541817874501</v>
      </c>
      <c r="AC32" s="365">
        <v>0.47610893907498503</v>
      </c>
      <c r="AD32" s="365">
        <v>30.695231112300501</v>
      </c>
      <c r="AE32" s="365">
        <v>151.446969564624</v>
      </c>
      <c r="AF32" s="365">
        <v>48.787020027371398</v>
      </c>
      <c r="AG32" s="365">
        <v>11.111514041291001</v>
      </c>
      <c r="AH32" s="365">
        <v>4.3335466931897298E-2</v>
      </c>
      <c r="AI32" s="365">
        <v>1.6917702809383099</v>
      </c>
      <c r="AJ32" s="365">
        <v>2.06414482524142E-2</v>
      </c>
      <c r="AK32" s="365">
        <v>51.039039080652202</v>
      </c>
      <c r="AL32" s="365">
        <v>22.368631187012099</v>
      </c>
      <c r="AM32" s="365">
        <v>45.122929733001001</v>
      </c>
      <c r="AN32" s="365">
        <v>1052.2348889652601</v>
      </c>
      <c r="AO32" s="365">
        <v>1000.05426292044</v>
      </c>
    </row>
    <row r="33" spans="1:41" x14ac:dyDescent="0.25">
      <c r="A33" s="361" t="s">
        <v>348</v>
      </c>
      <c r="B33" s="361" t="s">
        <v>349</v>
      </c>
      <c r="C33" s="361" t="s">
        <v>331</v>
      </c>
      <c r="D33" s="361" t="s">
        <v>332</v>
      </c>
      <c r="E33" s="362">
        <v>29</v>
      </c>
      <c r="F33" s="362">
        <v>50</v>
      </c>
      <c r="G33" s="362">
        <v>0</v>
      </c>
      <c r="H33" s="362">
        <v>16</v>
      </c>
      <c r="I33" s="363">
        <v>102.99999999937501</v>
      </c>
      <c r="J33" s="363">
        <v>0</v>
      </c>
      <c r="K33" s="363" t="s">
        <v>401</v>
      </c>
      <c r="L33" s="363">
        <v>9</v>
      </c>
      <c r="M33" s="363">
        <v>198.29777777777801</v>
      </c>
      <c r="N33" s="364">
        <v>1264.8588917473601</v>
      </c>
      <c r="O33" s="365">
        <v>3.5231759611848501</v>
      </c>
      <c r="P33" s="365">
        <v>12.092652464003001</v>
      </c>
      <c r="Q33" s="365">
        <v>0</v>
      </c>
      <c r="R33" s="365">
        <v>9.38265204062501E-2</v>
      </c>
      <c r="S33" s="365">
        <v>8.0196646028054E-2</v>
      </c>
      <c r="T33" s="365">
        <v>15.6957752005925</v>
      </c>
      <c r="U33" s="365">
        <v>0</v>
      </c>
      <c r="V33" s="365">
        <v>17.066223409093201</v>
      </c>
      <c r="W33" s="365">
        <v>30.5371495499591</v>
      </c>
      <c r="X33" s="365">
        <v>307.01303226059298</v>
      </c>
      <c r="Y33" s="365">
        <v>349.777233132719</v>
      </c>
      <c r="Z33" s="365">
        <v>27.4204556221761</v>
      </c>
      <c r="AA33" s="365">
        <v>0.53161579716394003</v>
      </c>
      <c r="AB33" s="365">
        <v>2.2424537603372601</v>
      </c>
      <c r="AC33" s="365">
        <v>0.88728127752712005</v>
      </c>
      <c r="AD33" s="365">
        <v>12.1203921710448</v>
      </c>
      <c r="AE33" s="365">
        <v>19.970432242900198</v>
      </c>
      <c r="AF33" s="365">
        <v>4.3351556900749904</v>
      </c>
      <c r="AG33" s="365">
        <v>17.453594938645299</v>
      </c>
      <c r="AH33" s="365">
        <v>1.24E-2</v>
      </c>
      <c r="AI33" s="365">
        <v>0.927526017499266</v>
      </c>
      <c r="AJ33" s="365">
        <v>0.78084766247932402</v>
      </c>
      <c r="AK33" s="365">
        <v>164.30082436622101</v>
      </c>
      <c r="AL33" s="365">
        <v>8.6303834831602995</v>
      </c>
      <c r="AM33" s="365">
        <v>7.7639787185487199</v>
      </c>
      <c r="AN33" s="365">
        <v>58.351128376316602</v>
      </c>
      <c r="AO33" s="365">
        <v>203.251222694776</v>
      </c>
    </row>
    <row r="34" spans="1:41" x14ac:dyDescent="0.25">
      <c r="A34" s="361" t="s">
        <v>350</v>
      </c>
      <c r="B34" s="361" t="s">
        <v>351</v>
      </c>
      <c r="C34" s="361" t="s">
        <v>323</v>
      </c>
      <c r="D34" s="361" t="s">
        <v>324</v>
      </c>
      <c r="E34" s="362">
        <v>58</v>
      </c>
      <c r="F34" s="362">
        <v>478</v>
      </c>
      <c r="G34" s="362">
        <v>2</v>
      </c>
      <c r="H34" s="362">
        <v>408</v>
      </c>
      <c r="I34" s="363">
        <v>162.02450980394599</v>
      </c>
      <c r="J34" s="363">
        <v>59</v>
      </c>
      <c r="K34" s="363">
        <v>201.38903954802299</v>
      </c>
      <c r="L34" s="363">
        <v>14</v>
      </c>
      <c r="M34" s="363">
        <v>132.42857142857099</v>
      </c>
      <c r="N34" s="364">
        <v>4853.7939087907398</v>
      </c>
      <c r="O34" s="365">
        <v>32.275576435196697</v>
      </c>
      <c r="P34" s="365">
        <v>53.002584928440598</v>
      </c>
      <c r="Q34" s="365">
        <v>184.97927494414799</v>
      </c>
      <c r="R34" s="365">
        <v>16.1032809190515</v>
      </c>
      <c r="S34" s="365">
        <v>2.3175655695157</v>
      </c>
      <c r="T34" s="365">
        <v>74.462774490908501</v>
      </c>
      <c r="U34" s="365">
        <v>3.0750908826291602E-2</v>
      </c>
      <c r="V34" s="365">
        <v>7.1017264177416202</v>
      </c>
      <c r="W34" s="365">
        <v>25.910716528237799</v>
      </c>
      <c r="X34" s="365">
        <v>1243.9470221993099</v>
      </c>
      <c r="Y34" s="365">
        <v>1289.3656874339399</v>
      </c>
      <c r="Z34" s="365">
        <v>89.562707231638598</v>
      </c>
      <c r="AA34" s="365">
        <v>7.1788909662271694E-2</v>
      </c>
      <c r="AB34" s="365">
        <v>3.2052516645926898</v>
      </c>
      <c r="AC34" s="365">
        <v>1.17684525097952</v>
      </c>
      <c r="AD34" s="365">
        <v>35.721260783571097</v>
      </c>
      <c r="AE34" s="365">
        <v>88.947819183342403</v>
      </c>
      <c r="AF34" s="365">
        <v>27.968774380900701</v>
      </c>
      <c r="AG34" s="365">
        <v>25.126026831471201</v>
      </c>
      <c r="AH34" s="365">
        <v>1.30543933054393E-2</v>
      </c>
      <c r="AI34" s="365">
        <v>47.860315379030403</v>
      </c>
      <c r="AJ34" s="365">
        <v>1.94399912973649</v>
      </c>
      <c r="AK34" s="365">
        <v>22.381804946532199</v>
      </c>
      <c r="AL34" s="365">
        <v>32.282624285047497</v>
      </c>
      <c r="AM34" s="365">
        <v>23.051466898374098</v>
      </c>
      <c r="AN34" s="365">
        <v>634.55586940566104</v>
      </c>
      <c r="AO34" s="365">
        <v>890.42744141666105</v>
      </c>
    </row>
    <row r="35" spans="1:41" x14ac:dyDescent="0.25">
      <c r="A35" s="361" t="s">
        <v>350</v>
      </c>
      <c r="B35" s="361" t="s">
        <v>351</v>
      </c>
      <c r="C35" s="361" t="s">
        <v>325</v>
      </c>
      <c r="D35" s="361" t="s">
        <v>326</v>
      </c>
      <c r="E35" s="362">
        <v>46</v>
      </c>
      <c r="F35" s="362">
        <v>153</v>
      </c>
      <c r="G35" s="362">
        <v>5</v>
      </c>
      <c r="H35" s="362">
        <v>106</v>
      </c>
      <c r="I35" s="363">
        <v>160.44339622641499</v>
      </c>
      <c r="J35" s="363">
        <v>11</v>
      </c>
      <c r="K35" s="363">
        <v>303.74727272727301</v>
      </c>
      <c r="L35" s="363">
        <v>11</v>
      </c>
      <c r="M35" s="363">
        <v>175.18181818181799</v>
      </c>
      <c r="N35" s="364">
        <v>4843.2020891887096</v>
      </c>
      <c r="O35" s="365">
        <v>53.536546606184402</v>
      </c>
      <c r="P35" s="365">
        <v>59.403502411370802</v>
      </c>
      <c r="Q35" s="365">
        <v>159.29000156013399</v>
      </c>
      <c r="R35" s="365">
        <v>7.9896162224087997</v>
      </c>
      <c r="S35" s="365">
        <v>7.55215829354111E-2</v>
      </c>
      <c r="T35" s="365">
        <v>74.5670776044158</v>
      </c>
      <c r="U35" s="365">
        <v>4.5716625660745802E-2</v>
      </c>
      <c r="V35" s="365">
        <v>22.706911203502301</v>
      </c>
      <c r="W35" s="365">
        <v>135.99258860635101</v>
      </c>
      <c r="X35" s="365">
        <v>1018.26497568608</v>
      </c>
      <c r="Y35" s="365">
        <v>1018.35116780514</v>
      </c>
      <c r="Z35" s="365">
        <v>65.684551639660299</v>
      </c>
      <c r="AA35" s="365">
        <v>0.35030104392252098</v>
      </c>
      <c r="AB35" s="365">
        <v>1.41070518532092</v>
      </c>
      <c r="AC35" s="365">
        <v>0.29868411750531698</v>
      </c>
      <c r="AD35" s="365">
        <v>22.5444847390768</v>
      </c>
      <c r="AE35" s="365">
        <v>95.552714192142801</v>
      </c>
      <c r="AF35" s="365">
        <v>37.151799315392999</v>
      </c>
      <c r="AG35" s="365">
        <v>22.524696626968201</v>
      </c>
      <c r="AH35" s="365">
        <v>5.3594771241830097E-2</v>
      </c>
      <c r="AI35" s="365">
        <v>1.85901902144107</v>
      </c>
      <c r="AJ35" s="365">
        <v>3.3086044784019299</v>
      </c>
      <c r="AK35" s="365">
        <v>33.222148574420999</v>
      </c>
      <c r="AL35" s="365">
        <v>31.512937371075001</v>
      </c>
      <c r="AM35" s="365">
        <v>52.427576123189198</v>
      </c>
      <c r="AN35" s="365">
        <v>1029.3113950591801</v>
      </c>
      <c r="AO35" s="365">
        <v>895.765385495739</v>
      </c>
    </row>
    <row r="36" spans="1:41" x14ac:dyDescent="0.25">
      <c r="A36" s="361" t="s">
        <v>350</v>
      </c>
      <c r="B36" s="361" t="s">
        <v>351</v>
      </c>
      <c r="C36" s="361" t="s">
        <v>331</v>
      </c>
      <c r="D36" s="361" t="s">
        <v>332</v>
      </c>
      <c r="E36" s="362">
        <v>41</v>
      </c>
      <c r="F36" s="362">
        <v>128</v>
      </c>
      <c r="G36" s="362">
        <v>0</v>
      </c>
      <c r="H36" s="362">
        <v>63</v>
      </c>
      <c r="I36" s="363">
        <v>103</v>
      </c>
      <c r="J36" s="363">
        <v>0</v>
      </c>
      <c r="K36" s="363" t="s">
        <v>401</v>
      </c>
      <c r="L36" s="363">
        <v>24</v>
      </c>
      <c r="M36" s="363">
        <v>273.16666666666703</v>
      </c>
      <c r="N36" s="364">
        <v>1775.21067645941</v>
      </c>
      <c r="O36" s="365">
        <v>3.8581911642864699</v>
      </c>
      <c r="P36" s="365">
        <v>15.551150634119701</v>
      </c>
      <c r="Q36" s="365">
        <v>0.120226862281977</v>
      </c>
      <c r="R36" s="365">
        <v>17.4930895308697</v>
      </c>
      <c r="S36" s="365">
        <v>0</v>
      </c>
      <c r="T36" s="365">
        <v>17.298020813337398</v>
      </c>
      <c r="U36" s="365">
        <v>0</v>
      </c>
      <c r="V36" s="365">
        <v>12.3088835872286</v>
      </c>
      <c r="W36" s="365">
        <v>83.258799658047806</v>
      </c>
      <c r="X36" s="365">
        <v>414.28985335053801</v>
      </c>
      <c r="Y36" s="365">
        <v>471.34976127118102</v>
      </c>
      <c r="Z36" s="365">
        <v>28.245896493999101</v>
      </c>
      <c r="AA36" s="365">
        <v>6.0967602167247698E-3</v>
      </c>
      <c r="AB36" s="365">
        <v>1.0524555574221</v>
      </c>
      <c r="AC36" s="365">
        <v>0.27531120770600997</v>
      </c>
      <c r="AD36" s="365">
        <v>10.7572651337299</v>
      </c>
      <c r="AE36" s="365">
        <v>22.3724342637842</v>
      </c>
      <c r="AF36" s="365">
        <v>5.0815331131757002</v>
      </c>
      <c r="AG36" s="365">
        <v>1.93068687166484</v>
      </c>
      <c r="AH36" s="365">
        <v>1.1640625E-2</v>
      </c>
      <c r="AI36" s="365">
        <v>33.550594365588402</v>
      </c>
      <c r="AJ36" s="365">
        <v>14.4790640506586</v>
      </c>
      <c r="AK36" s="365">
        <v>186.304738218952</v>
      </c>
      <c r="AL36" s="365">
        <v>4.5132093665459898</v>
      </c>
      <c r="AM36" s="365">
        <v>4.5918266134394301</v>
      </c>
      <c r="AN36" s="365">
        <v>65.460071388237793</v>
      </c>
      <c r="AO36" s="365">
        <v>361.04967134916097</v>
      </c>
    </row>
    <row r="37" spans="1:41" x14ac:dyDescent="0.25">
      <c r="A37" s="361" t="s">
        <v>402</v>
      </c>
      <c r="B37" s="361" t="s">
        <v>403</v>
      </c>
      <c r="C37" s="361" t="s">
        <v>323</v>
      </c>
      <c r="D37" s="361" t="s">
        <v>324</v>
      </c>
      <c r="E37" s="362">
        <v>36</v>
      </c>
      <c r="F37" s="362">
        <v>106</v>
      </c>
      <c r="G37" s="362">
        <v>3</v>
      </c>
      <c r="H37" s="362">
        <v>81</v>
      </c>
      <c r="I37" s="363">
        <v>136.98765432098801</v>
      </c>
      <c r="J37" s="363">
        <v>18</v>
      </c>
      <c r="K37" s="363">
        <v>236.65666666666701</v>
      </c>
      <c r="L37" s="363">
        <v>1</v>
      </c>
      <c r="M37" s="363">
        <v>20</v>
      </c>
      <c r="N37" s="364">
        <v>4454.72118638556</v>
      </c>
      <c r="O37" s="365">
        <v>26.718148339170401</v>
      </c>
      <c r="P37" s="365">
        <v>59.095897315174398</v>
      </c>
      <c r="Q37" s="365">
        <v>404.67421306350798</v>
      </c>
      <c r="R37" s="365">
        <v>68.712350206890704</v>
      </c>
      <c r="S37" s="365">
        <v>4.0566037735849103E-3</v>
      </c>
      <c r="T37" s="365">
        <v>103.88444424847199</v>
      </c>
      <c r="U37" s="365">
        <v>0</v>
      </c>
      <c r="V37" s="365">
        <v>22.4073876425783</v>
      </c>
      <c r="W37" s="365">
        <v>63.742173871328603</v>
      </c>
      <c r="X37" s="365">
        <v>1002.17601115052</v>
      </c>
      <c r="Y37" s="365">
        <v>919.75267094801598</v>
      </c>
      <c r="Z37" s="365">
        <v>33.727564689467997</v>
      </c>
      <c r="AA37" s="365">
        <v>2.9733852534250999E-2</v>
      </c>
      <c r="AB37" s="365">
        <v>2.3966445749403502</v>
      </c>
      <c r="AC37" s="365">
        <v>0.68622181842687502</v>
      </c>
      <c r="AD37" s="365">
        <v>40.3305918425201</v>
      </c>
      <c r="AE37" s="365">
        <v>113.275930080866</v>
      </c>
      <c r="AF37" s="365">
        <v>25.70371743878</v>
      </c>
      <c r="AG37" s="365">
        <v>72.522647682632297</v>
      </c>
      <c r="AH37" s="365">
        <v>1.9811320754717001E-2</v>
      </c>
      <c r="AI37" s="365">
        <v>1.09546681132075</v>
      </c>
      <c r="AJ37" s="365">
        <v>0.14500381060449599</v>
      </c>
      <c r="AK37" s="365">
        <v>3.1316264117843402</v>
      </c>
      <c r="AL37" s="365">
        <v>14.093641036059299</v>
      </c>
      <c r="AM37" s="365">
        <v>35.140219609918603</v>
      </c>
      <c r="AN37" s="365">
        <v>627.51102992533094</v>
      </c>
      <c r="AO37" s="365">
        <v>813.74434409111598</v>
      </c>
    </row>
    <row r="38" spans="1:41" x14ac:dyDescent="0.25">
      <c r="A38" s="361" t="s">
        <v>402</v>
      </c>
      <c r="B38" s="361" t="s">
        <v>403</v>
      </c>
      <c r="C38" s="361" t="s">
        <v>325</v>
      </c>
      <c r="D38" s="361" t="s">
        <v>326</v>
      </c>
      <c r="E38" s="362">
        <v>38</v>
      </c>
      <c r="F38" s="362">
        <v>73</v>
      </c>
      <c r="G38" s="362">
        <v>10</v>
      </c>
      <c r="H38" s="362">
        <v>30</v>
      </c>
      <c r="I38" s="363">
        <v>152.69999999999999</v>
      </c>
      <c r="J38" s="363">
        <v>7</v>
      </c>
      <c r="K38" s="363">
        <v>2778.8471428571402</v>
      </c>
      <c r="L38" s="363">
        <v>2</v>
      </c>
      <c r="M38" s="363">
        <v>34</v>
      </c>
      <c r="N38" s="364">
        <v>7808.5219546953904</v>
      </c>
      <c r="O38" s="365">
        <v>102.80099475386599</v>
      </c>
      <c r="P38" s="365">
        <v>64.477150773320105</v>
      </c>
      <c r="Q38" s="365">
        <v>721.33939694723301</v>
      </c>
      <c r="R38" s="365">
        <v>41.781613444298003</v>
      </c>
      <c r="S38" s="365">
        <v>4.1260688991547303</v>
      </c>
      <c r="T38" s="365">
        <v>142.10232363054999</v>
      </c>
      <c r="U38" s="365">
        <v>4.0465836388380499E-2</v>
      </c>
      <c r="V38" s="365">
        <v>48.535490832429701</v>
      </c>
      <c r="W38" s="365">
        <v>131.219032001111</v>
      </c>
      <c r="X38" s="365">
        <v>1200.5524671871401</v>
      </c>
      <c r="Y38" s="365">
        <v>617.29317262714801</v>
      </c>
      <c r="Z38" s="365">
        <v>297.01389176319498</v>
      </c>
      <c r="AA38" s="365">
        <v>6.7332156003793902E-3</v>
      </c>
      <c r="AB38" s="365">
        <v>2.9823573769596998</v>
      </c>
      <c r="AC38" s="365">
        <v>8.2996576057823304E-2</v>
      </c>
      <c r="AD38" s="365">
        <v>20.214470420073699</v>
      </c>
      <c r="AE38" s="365">
        <v>166.016292414959</v>
      </c>
      <c r="AF38" s="365">
        <v>86.173613233153404</v>
      </c>
      <c r="AG38" s="365">
        <v>18.7740054725828</v>
      </c>
      <c r="AH38" s="365">
        <v>0</v>
      </c>
      <c r="AI38" s="365">
        <v>0.55033445205479403</v>
      </c>
      <c r="AJ38" s="365">
        <v>2.11315635933872E-2</v>
      </c>
      <c r="AK38" s="365">
        <v>23.734937252969001</v>
      </c>
      <c r="AL38" s="365">
        <v>259.55263113491702</v>
      </c>
      <c r="AM38" s="365">
        <v>143.75481243274501</v>
      </c>
      <c r="AN38" s="365">
        <v>1986.75624974691</v>
      </c>
      <c r="AO38" s="365">
        <v>1728.6199681769499</v>
      </c>
    </row>
    <row r="39" spans="1:41" x14ac:dyDescent="0.25">
      <c r="A39" s="361" t="s">
        <v>402</v>
      </c>
      <c r="B39" s="361" t="s">
        <v>403</v>
      </c>
      <c r="C39" s="361" t="s">
        <v>331</v>
      </c>
      <c r="D39" s="361" t="s">
        <v>332</v>
      </c>
      <c r="E39" s="362">
        <v>27</v>
      </c>
      <c r="F39" s="362">
        <v>54</v>
      </c>
      <c r="G39" s="362">
        <v>0</v>
      </c>
      <c r="H39" s="362">
        <v>25</v>
      </c>
      <c r="I39" s="363">
        <v>78.040000000000006</v>
      </c>
      <c r="J39" s="363">
        <v>1</v>
      </c>
      <c r="K39" s="363">
        <v>88</v>
      </c>
      <c r="L39" s="363">
        <v>8</v>
      </c>
      <c r="M39" s="363">
        <v>67.5</v>
      </c>
      <c r="N39" s="364">
        <v>1390.2673480055701</v>
      </c>
      <c r="O39" s="365">
        <v>64.673810773822197</v>
      </c>
      <c r="P39" s="365">
        <v>29.715525109144998</v>
      </c>
      <c r="Q39" s="365">
        <v>70.445673441037798</v>
      </c>
      <c r="R39" s="365">
        <v>3.0387321271064098</v>
      </c>
      <c r="S39" s="365">
        <v>2.0048697337796299E-2</v>
      </c>
      <c r="T39" s="365">
        <v>17.894086281876401</v>
      </c>
      <c r="U39" s="365">
        <v>7.5760075979843897E-2</v>
      </c>
      <c r="V39" s="365">
        <v>3.87749902064628</v>
      </c>
      <c r="W39" s="365">
        <v>26.899689032541101</v>
      </c>
      <c r="X39" s="365">
        <v>331.32960786767097</v>
      </c>
      <c r="Y39" s="365">
        <v>355.30444122626</v>
      </c>
      <c r="Z39" s="365">
        <v>22.445233988587901</v>
      </c>
      <c r="AA39" s="365">
        <v>0</v>
      </c>
      <c r="AB39" s="365">
        <v>0.699649974344698</v>
      </c>
      <c r="AC39" s="365">
        <v>0.64545864449539703</v>
      </c>
      <c r="AD39" s="365">
        <v>10.9547399447071</v>
      </c>
      <c r="AE39" s="365">
        <v>33.358957279727001</v>
      </c>
      <c r="AF39" s="365">
        <v>1.88906221020318</v>
      </c>
      <c r="AG39" s="365">
        <v>16.7044274491053</v>
      </c>
      <c r="AH39" s="365">
        <v>3.3333333333333301E-3</v>
      </c>
      <c r="AI39" s="365">
        <v>2.7335462962962999E-2</v>
      </c>
      <c r="AJ39" s="365">
        <v>34.521203413992701</v>
      </c>
      <c r="AK39" s="365">
        <v>44.876176364487499</v>
      </c>
      <c r="AL39" s="365">
        <v>9.4844931099519698</v>
      </c>
      <c r="AM39" s="365">
        <v>4.3345226251985096</v>
      </c>
      <c r="AN39" s="365">
        <v>93.458081728135895</v>
      </c>
      <c r="AO39" s="365">
        <v>213.59028205465901</v>
      </c>
    </row>
    <row r="40" spans="1:41" x14ac:dyDescent="0.25">
      <c r="A40" s="361" t="s">
        <v>404</v>
      </c>
      <c r="B40" s="361" t="s">
        <v>405</v>
      </c>
      <c r="C40" s="361" t="s">
        <v>323</v>
      </c>
      <c r="D40" s="361" t="s">
        <v>324</v>
      </c>
      <c r="E40" s="362">
        <v>35</v>
      </c>
      <c r="F40" s="362">
        <v>100</v>
      </c>
      <c r="G40" s="362">
        <v>1</v>
      </c>
      <c r="H40" s="362">
        <v>81</v>
      </c>
      <c r="I40" s="363">
        <v>130.27160493827199</v>
      </c>
      <c r="J40" s="363">
        <v>5</v>
      </c>
      <c r="K40" s="363">
        <v>46.4</v>
      </c>
      <c r="L40" s="363">
        <v>1</v>
      </c>
      <c r="M40" s="363">
        <v>26</v>
      </c>
      <c r="N40" s="364">
        <v>3905.28002570732</v>
      </c>
      <c r="O40" s="365">
        <v>17.959727882539699</v>
      </c>
      <c r="P40" s="365">
        <v>31.2588502372409</v>
      </c>
      <c r="Q40" s="365">
        <v>113.17523069132</v>
      </c>
      <c r="R40" s="365">
        <v>4.7797863728841801</v>
      </c>
      <c r="S40" s="365">
        <v>0.11652372701694701</v>
      </c>
      <c r="T40" s="365">
        <v>47.499146642845403</v>
      </c>
      <c r="U40" s="365">
        <v>8.5059907148990404E-9</v>
      </c>
      <c r="V40" s="365">
        <v>24.256664149799999</v>
      </c>
      <c r="W40" s="365">
        <v>112.02738583553599</v>
      </c>
      <c r="X40" s="365">
        <v>899.267473654421</v>
      </c>
      <c r="Y40" s="365">
        <v>1039.9037581939799</v>
      </c>
      <c r="Z40" s="365">
        <v>103.899960277972</v>
      </c>
      <c r="AA40" s="365">
        <v>1.8996307164264599E-2</v>
      </c>
      <c r="AB40" s="365">
        <v>2.41192006474098</v>
      </c>
      <c r="AC40" s="365">
        <v>0.58103390478056205</v>
      </c>
      <c r="AD40" s="365">
        <v>28.599377422135401</v>
      </c>
      <c r="AE40" s="365">
        <v>89.708700400285693</v>
      </c>
      <c r="AF40" s="365">
        <v>13.6176029061211</v>
      </c>
      <c r="AG40" s="365">
        <v>81.815682395198095</v>
      </c>
      <c r="AH40" s="365">
        <v>0</v>
      </c>
      <c r="AI40" s="365">
        <v>1.1903725199999999</v>
      </c>
      <c r="AJ40" s="365">
        <v>2.6573481388695801</v>
      </c>
      <c r="AK40" s="365">
        <v>8.2044337484104997</v>
      </c>
      <c r="AL40" s="365">
        <v>13.1729943505467</v>
      </c>
      <c r="AM40" s="365">
        <v>17.7666377190079</v>
      </c>
      <c r="AN40" s="365">
        <v>524.673736993685</v>
      </c>
      <c r="AO40" s="365">
        <v>726.36058330266496</v>
      </c>
    </row>
    <row r="41" spans="1:41" x14ac:dyDescent="0.25">
      <c r="A41" s="361" t="s">
        <v>404</v>
      </c>
      <c r="B41" s="361" t="s">
        <v>405</v>
      </c>
      <c r="C41" s="361" t="s">
        <v>325</v>
      </c>
      <c r="D41" s="361" t="s">
        <v>326</v>
      </c>
      <c r="E41" s="362">
        <v>21</v>
      </c>
      <c r="F41" s="362">
        <v>28</v>
      </c>
      <c r="G41" s="362">
        <v>3</v>
      </c>
      <c r="H41" s="362">
        <v>18</v>
      </c>
      <c r="I41" s="363">
        <v>121</v>
      </c>
      <c r="J41" s="363">
        <v>0</v>
      </c>
      <c r="K41" s="363" t="s">
        <v>401</v>
      </c>
      <c r="L41" s="363">
        <v>0</v>
      </c>
      <c r="M41" s="363" t="s">
        <v>401</v>
      </c>
      <c r="N41" s="364">
        <v>4571.1856906674202</v>
      </c>
      <c r="O41" s="365">
        <v>11.733921799776599</v>
      </c>
      <c r="P41" s="365">
        <v>38.553568456996103</v>
      </c>
      <c r="Q41" s="365">
        <v>0.28810317242857097</v>
      </c>
      <c r="R41" s="365">
        <v>0.245465459917765</v>
      </c>
      <c r="S41" s="365">
        <v>1.7857142857142901E-2</v>
      </c>
      <c r="T41" s="365">
        <v>39.162326856987598</v>
      </c>
      <c r="U41" s="365">
        <v>1.8146428571428601</v>
      </c>
      <c r="V41" s="365">
        <v>36.155306448897399</v>
      </c>
      <c r="W41" s="365">
        <v>261.89005066719301</v>
      </c>
      <c r="X41" s="365">
        <v>1535.8640929514199</v>
      </c>
      <c r="Y41" s="365">
        <v>840.89851354730399</v>
      </c>
      <c r="Z41" s="365">
        <v>48.552162691190702</v>
      </c>
      <c r="AA41" s="365">
        <v>3.12892857142857E-2</v>
      </c>
      <c r="AB41" s="365">
        <v>0.70644711031214102</v>
      </c>
      <c r="AC41" s="365">
        <v>0.58745148244045697</v>
      </c>
      <c r="AD41" s="365">
        <v>11.506412448565699</v>
      </c>
      <c r="AE41" s="365">
        <v>66.713660830617997</v>
      </c>
      <c r="AF41" s="365">
        <v>23.785805920623801</v>
      </c>
      <c r="AG41" s="365">
        <v>13.3780564859156</v>
      </c>
      <c r="AH41" s="365">
        <v>0</v>
      </c>
      <c r="AI41" s="365">
        <v>0.209324785714286</v>
      </c>
      <c r="AJ41" s="365">
        <v>7.37536984975618E-4</v>
      </c>
      <c r="AK41" s="365">
        <v>0</v>
      </c>
      <c r="AL41" s="365">
        <v>28.408967649411998</v>
      </c>
      <c r="AM41" s="365">
        <v>14.4211544142879</v>
      </c>
      <c r="AN41" s="365">
        <v>736.04473324526396</v>
      </c>
      <c r="AO41" s="365">
        <v>860.21635207086797</v>
      </c>
    </row>
    <row r="42" spans="1:41" x14ac:dyDescent="0.25">
      <c r="A42" s="361" t="s">
        <v>404</v>
      </c>
      <c r="B42" s="361" t="s">
        <v>405</v>
      </c>
      <c r="C42" s="361" t="s">
        <v>331</v>
      </c>
      <c r="D42" s="361" t="s">
        <v>332</v>
      </c>
      <c r="E42" s="362">
        <v>33</v>
      </c>
      <c r="F42" s="362">
        <v>75</v>
      </c>
      <c r="G42" s="362">
        <v>0</v>
      </c>
      <c r="H42" s="362">
        <v>29</v>
      </c>
      <c r="I42" s="363">
        <v>101.137931034483</v>
      </c>
      <c r="J42" s="363">
        <v>0</v>
      </c>
      <c r="K42" s="363" t="s">
        <v>401</v>
      </c>
      <c r="L42" s="363">
        <v>10</v>
      </c>
      <c r="M42" s="363">
        <v>98.4</v>
      </c>
      <c r="N42" s="364">
        <v>1502.64680456475</v>
      </c>
      <c r="O42" s="365">
        <v>2.5246352496409101</v>
      </c>
      <c r="P42" s="365">
        <v>19.609239562205701</v>
      </c>
      <c r="Q42" s="365">
        <v>6.4326922480620094E-2</v>
      </c>
      <c r="R42" s="365">
        <v>0.94953136625691104</v>
      </c>
      <c r="S42" s="365">
        <v>5.4677534892735601E-2</v>
      </c>
      <c r="T42" s="365">
        <v>8.8123001707699498</v>
      </c>
      <c r="U42" s="365">
        <v>1.5961713018490701E-2</v>
      </c>
      <c r="V42" s="365">
        <v>13.5801482838634</v>
      </c>
      <c r="W42" s="365">
        <v>78.227341543870097</v>
      </c>
      <c r="X42" s="365">
        <v>274.523772306419</v>
      </c>
      <c r="Y42" s="365">
        <v>373.93920374584201</v>
      </c>
      <c r="Z42" s="365">
        <v>28.8623076682718</v>
      </c>
      <c r="AA42" s="365">
        <v>1.1149456202003501E-3</v>
      </c>
      <c r="AB42" s="365">
        <v>0.52385840363473202</v>
      </c>
      <c r="AC42" s="365">
        <v>0.33234238857061899</v>
      </c>
      <c r="AD42" s="365">
        <v>14.3558063814829</v>
      </c>
      <c r="AE42" s="365">
        <v>29.539368228232501</v>
      </c>
      <c r="AF42" s="365">
        <v>3.22885567978039</v>
      </c>
      <c r="AG42" s="365">
        <v>278.03222792549502</v>
      </c>
      <c r="AH42" s="365">
        <v>2.3999999999999998E-3</v>
      </c>
      <c r="AI42" s="365">
        <v>6.2310376494452799E-2</v>
      </c>
      <c r="AJ42" s="365">
        <v>9.8927993740989404</v>
      </c>
      <c r="AK42" s="365">
        <v>75.900245146182797</v>
      </c>
      <c r="AL42" s="365">
        <v>10.8295452154833</v>
      </c>
      <c r="AM42" s="365">
        <v>2.96662349165647</v>
      </c>
      <c r="AN42" s="365">
        <v>65.422448687319502</v>
      </c>
      <c r="AO42" s="365">
        <v>210.393880850936</v>
      </c>
    </row>
    <row r="43" spans="1:41" x14ac:dyDescent="0.25">
      <c r="A43" s="361" t="s">
        <v>404</v>
      </c>
      <c r="B43" s="361" t="s">
        <v>405</v>
      </c>
      <c r="C43" s="361" t="s">
        <v>406</v>
      </c>
      <c r="D43" s="361" t="s">
        <v>407</v>
      </c>
      <c r="E43" s="362">
        <v>1</v>
      </c>
      <c r="F43" s="362">
        <v>1</v>
      </c>
      <c r="G43" s="362">
        <v>0</v>
      </c>
      <c r="H43" s="362">
        <v>0</v>
      </c>
      <c r="I43" s="363" t="s">
        <v>401</v>
      </c>
      <c r="J43" s="363">
        <v>0</v>
      </c>
      <c r="K43" s="363" t="s">
        <v>401</v>
      </c>
      <c r="L43" s="363">
        <v>0</v>
      </c>
      <c r="M43" s="363" t="s">
        <v>401</v>
      </c>
      <c r="N43" s="364">
        <v>793.15003156693194</v>
      </c>
      <c r="O43" s="365">
        <v>31.023253425572001</v>
      </c>
      <c r="P43" s="365">
        <v>0</v>
      </c>
      <c r="Q43" s="365">
        <v>0</v>
      </c>
      <c r="R43" s="365">
        <v>0</v>
      </c>
      <c r="S43" s="365">
        <v>0</v>
      </c>
      <c r="T43" s="365">
        <v>2.8822678025267399</v>
      </c>
      <c r="U43" s="365">
        <v>0</v>
      </c>
      <c r="V43" s="365">
        <v>0</v>
      </c>
      <c r="W43" s="365">
        <v>300.78470971339698</v>
      </c>
      <c r="X43" s="365">
        <v>109.827929773817</v>
      </c>
      <c r="Y43" s="365">
        <v>0</v>
      </c>
      <c r="Z43" s="365">
        <v>0</v>
      </c>
      <c r="AA43" s="365">
        <v>0</v>
      </c>
      <c r="AB43" s="365">
        <v>0</v>
      </c>
      <c r="AC43" s="365">
        <v>7.4913843582346402</v>
      </c>
      <c r="AD43" s="365">
        <v>0</v>
      </c>
      <c r="AE43" s="365">
        <v>44.8077340322385</v>
      </c>
      <c r="AF43" s="365">
        <v>0</v>
      </c>
      <c r="AG43" s="365">
        <v>0</v>
      </c>
      <c r="AH43" s="365">
        <v>0</v>
      </c>
      <c r="AI43" s="365">
        <v>0</v>
      </c>
      <c r="AJ43" s="365">
        <v>0</v>
      </c>
      <c r="AK43" s="365">
        <v>0</v>
      </c>
      <c r="AL43" s="365">
        <v>6.5169980373507999</v>
      </c>
      <c r="AM43" s="365">
        <v>25.3964695988527</v>
      </c>
      <c r="AN43" s="365">
        <v>162.23079275356901</v>
      </c>
      <c r="AO43" s="365">
        <v>102.188492071374</v>
      </c>
    </row>
    <row r="44" spans="1:41" x14ac:dyDescent="0.25">
      <c r="A44" s="361" t="s">
        <v>408</v>
      </c>
      <c r="B44" s="361" t="s">
        <v>409</v>
      </c>
      <c r="C44" s="361" t="s">
        <v>325</v>
      </c>
      <c r="D44" s="361" t="s">
        <v>326</v>
      </c>
      <c r="E44" s="362">
        <v>1</v>
      </c>
      <c r="F44" s="362">
        <v>1</v>
      </c>
      <c r="G44" s="362">
        <v>7</v>
      </c>
      <c r="H44" s="362">
        <v>0</v>
      </c>
      <c r="I44" s="363" t="s">
        <v>401</v>
      </c>
      <c r="J44" s="363">
        <v>1</v>
      </c>
      <c r="K44" s="363">
        <v>6</v>
      </c>
      <c r="L44" s="363">
        <v>0</v>
      </c>
      <c r="M44" s="363" t="s">
        <v>401</v>
      </c>
      <c r="N44" s="364">
        <v>4175.53</v>
      </c>
      <c r="O44" s="365">
        <v>1022.71</v>
      </c>
      <c r="P44" s="365">
        <v>10.87</v>
      </c>
      <c r="Q44" s="365">
        <v>0</v>
      </c>
      <c r="R44" s="365">
        <v>0</v>
      </c>
      <c r="S44" s="365">
        <v>0</v>
      </c>
      <c r="T44" s="365">
        <v>0</v>
      </c>
      <c r="U44" s="365">
        <v>0</v>
      </c>
      <c r="V44" s="365">
        <v>204.08</v>
      </c>
      <c r="W44" s="365">
        <v>0</v>
      </c>
      <c r="X44" s="365">
        <v>884.28</v>
      </c>
      <c r="Y44" s="365">
        <v>0</v>
      </c>
      <c r="Z44" s="365">
        <v>99.36</v>
      </c>
      <c r="AA44" s="365">
        <v>0</v>
      </c>
      <c r="AB44" s="365">
        <v>0</v>
      </c>
      <c r="AC44" s="365">
        <v>0</v>
      </c>
      <c r="AD44" s="365">
        <v>0</v>
      </c>
      <c r="AE44" s="365">
        <v>0</v>
      </c>
      <c r="AF44" s="365">
        <v>0</v>
      </c>
      <c r="AG44" s="365">
        <v>0</v>
      </c>
      <c r="AH44" s="365">
        <v>0</v>
      </c>
      <c r="AI44" s="365">
        <v>0</v>
      </c>
      <c r="AJ44" s="365">
        <v>0</v>
      </c>
      <c r="AK44" s="365">
        <v>0</v>
      </c>
      <c r="AL44" s="365">
        <v>0</v>
      </c>
      <c r="AM44" s="365">
        <v>0</v>
      </c>
      <c r="AN44" s="365">
        <v>1950.85</v>
      </c>
      <c r="AO44" s="365">
        <v>3.38</v>
      </c>
    </row>
  </sheetData>
  <autoFilter ref="A3:AO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2"/>
  <sheetViews>
    <sheetView workbookViewId="0">
      <selection activeCell="L19" sqref="L19"/>
    </sheetView>
  </sheetViews>
  <sheetFormatPr defaultRowHeight="15" x14ac:dyDescent="0.25"/>
  <cols>
    <col min="2" max="2" width="80.42578125" bestFit="1" customWidth="1"/>
  </cols>
  <sheetData>
    <row r="2" spans="2:9" ht="15.75" x14ac:dyDescent="0.25">
      <c r="B2" s="44" t="s">
        <v>254</v>
      </c>
      <c r="C2" s="156"/>
      <c r="D2" s="156"/>
      <c r="E2" s="156"/>
      <c r="F2" s="156"/>
      <c r="G2" s="156"/>
      <c r="H2" s="156"/>
      <c r="I2" s="156"/>
    </row>
    <row r="3" spans="2:9" x14ac:dyDescent="0.25">
      <c r="B3" s="156"/>
      <c r="C3" s="156"/>
      <c r="D3" s="156"/>
      <c r="E3" s="156"/>
      <c r="F3" s="156"/>
      <c r="G3" s="156"/>
      <c r="H3" s="156"/>
      <c r="I3" s="156"/>
    </row>
    <row r="4" spans="2:9" x14ac:dyDescent="0.25">
      <c r="B4" s="156"/>
      <c r="C4" s="156"/>
      <c r="D4" s="156"/>
      <c r="E4" s="156"/>
      <c r="F4" s="156"/>
      <c r="G4" s="156"/>
      <c r="H4" s="156"/>
      <c r="I4" s="156"/>
    </row>
    <row r="5" spans="2:9" x14ac:dyDescent="0.25">
      <c r="B5" s="366" t="s">
        <v>255</v>
      </c>
      <c r="C5" s="366"/>
      <c r="D5" s="366"/>
      <c r="E5" s="366"/>
      <c r="F5" s="366"/>
      <c r="G5" s="366"/>
      <c r="H5" s="366"/>
      <c r="I5" s="366"/>
    </row>
    <row r="6" spans="2:9" x14ac:dyDescent="0.25">
      <c r="B6" s="368"/>
      <c r="C6" s="368"/>
      <c r="D6" s="368"/>
      <c r="E6" s="368"/>
      <c r="F6" s="368"/>
      <c r="G6" s="368"/>
      <c r="H6" s="368"/>
      <c r="I6" s="368"/>
    </row>
    <row r="7" spans="2:9" x14ac:dyDescent="0.25">
      <c r="B7" s="280" t="s">
        <v>251</v>
      </c>
      <c r="C7" s="281"/>
      <c r="D7" s="281"/>
      <c r="E7" s="281"/>
      <c r="F7" s="423" t="s">
        <v>252</v>
      </c>
      <c r="G7" s="424"/>
      <c r="H7" s="425"/>
      <c r="I7" s="281"/>
    </row>
    <row r="8" spans="2:9" ht="26.25" x14ac:dyDescent="0.25">
      <c r="B8" s="282"/>
      <c r="C8" s="279" t="s">
        <v>246</v>
      </c>
      <c r="D8" s="278" t="s">
        <v>245</v>
      </c>
      <c r="E8" s="279" t="s">
        <v>247</v>
      </c>
      <c r="F8" s="279" t="s">
        <v>248</v>
      </c>
      <c r="G8" s="279" t="s">
        <v>249</v>
      </c>
      <c r="H8" s="279" t="s">
        <v>250</v>
      </c>
      <c r="I8" s="279" t="s">
        <v>253</v>
      </c>
    </row>
    <row r="9" spans="2:9" x14ac:dyDescent="0.25">
      <c r="B9" s="283" t="s">
        <v>257</v>
      </c>
      <c r="C9" s="284">
        <v>4.0339999999999999E-4</v>
      </c>
      <c r="D9" s="284">
        <v>2.9999999999999997E-4</v>
      </c>
      <c r="E9" s="284">
        <v>5.0000000000000001E-4</v>
      </c>
      <c r="F9" s="285">
        <v>-26625</v>
      </c>
      <c r="G9" s="285">
        <v>-19820</v>
      </c>
      <c r="H9" s="285">
        <v>-33034</v>
      </c>
      <c r="I9" s="286">
        <f t="shared" ref="I9:I11" si="0">H9-G9</f>
        <v>-13214</v>
      </c>
    </row>
    <row r="10" spans="2:9" x14ac:dyDescent="0.25">
      <c r="B10" s="287" t="s">
        <v>258</v>
      </c>
      <c r="C10" s="288">
        <v>0.95</v>
      </c>
      <c r="D10" s="288">
        <v>0.8</v>
      </c>
      <c r="E10" s="288">
        <v>1</v>
      </c>
      <c r="F10" s="426">
        <v>-26625</v>
      </c>
      <c r="G10" s="426">
        <v>-17750</v>
      </c>
      <c r="H10" s="426">
        <v>-29584</v>
      </c>
      <c r="I10" s="426">
        <f t="shared" si="0"/>
        <v>-11834</v>
      </c>
    </row>
    <row r="11" spans="2:9" x14ac:dyDescent="0.25">
      <c r="B11" s="289" t="s">
        <v>259</v>
      </c>
      <c r="C11" s="290">
        <v>5.0000000000000044E-2</v>
      </c>
      <c r="D11" s="290">
        <f>1-D10</f>
        <v>0.19999999999999996</v>
      </c>
      <c r="E11" s="290">
        <f>1-E10</f>
        <v>0</v>
      </c>
      <c r="F11" s="427"/>
      <c r="G11" s="427"/>
      <c r="H11" s="427"/>
      <c r="I11" s="427">
        <f t="shared" si="0"/>
        <v>0</v>
      </c>
    </row>
    <row r="12" spans="2:9" x14ac:dyDescent="0.25">
      <c r="B12" s="283" t="s">
        <v>260</v>
      </c>
      <c r="C12" s="291"/>
      <c r="D12" s="291"/>
      <c r="E12" s="291"/>
      <c r="F12" s="285"/>
      <c r="G12" s="285"/>
      <c r="H12" s="285"/>
      <c r="I12" s="285"/>
    </row>
  </sheetData>
  <mergeCells count="7">
    <mergeCell ref="B5:I5"/>
    <mergeCell ref="B6:I6"/>
    <mergeCell ref="F7:H7"/>
    <mergeCell ref="F10:F11"/>
    <mergeCell ref="G10:G11"/>
    <mergeCell ref="H10:H11"/>
    <mergeCell ref="I10:I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35" sqref="N35"/>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
  <sheetViews>
    <sheetView topLeftCell="A3" zoomScale="145" zoomScaleNormal="145" workbookViewId="0">
      <selection activeCell="B6" sqref="B6:C15"/>
    </sheetView>
  </sheetViews>
  <sheetFormatPr defaultRowHeight="15" x14ac:dyDescent="0.25"/>
  <cols>
    <col min="3" max="3" width="52" bestFit="1" customWidth="1"/>
  </cols>
  <sheetData>
    <row r="1" spans="1:16384" s="242" customFormat="1" x14ac:dyDescent="0.2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42" customFormat="1" x14ac:dyDescent="0.2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s="242" customFormat="1" x14ac:dyDescent="0.25">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pans="1:16384" ht="15.75" thickBot="1" x14ac:dyDescent="0.3"/>
    <row r="5" spans="1:16384" ht="79.5" thickBot="1" x14ac:dyDescent="0.3">
      <c r="B5" s="255" t="s">
        <v>201</v>
      </c>
      <c r="C5" s="256" t="s">
        <v>202</v>
      </c>
      <c r="D5" s="257" t="s">
        <v>203</v>
      </c>
      <c r="E5" s="258" t="s">
        <v>204</v>
      </c>
      <c r="F5" s="259" t="s">
        <v>205</v>
      </c>
      <c r="G5" s="259" t="s">
        <v>206</v>
      </c>
      <c r="H5" s="259" t="s">
        <v>207</v>
      </c>
      <c r="I5" s="259" t="s">
        <v>208</v>
      </c>
      <c r="J5" s="259" t="s">
        <v>209</v>
      </c>
      <c r="K5" s="259" t="s">
        <v>210</v>
      </c>
      <c r="L5" s="259" t="s">
        <v>211</v>
      </c>
      <c r="M5" s="260" t="s">
        <v>212</v>
      </c>
      <c r="N5" s="261" t="s">
        <v>213</v>
      </c>
      <c r="O5" s="262" t="s">
        <v>214</v>
      </c>
      <c r="P5" s="263" t="s">
        <v>215</v>
      </c>
    </row>
    <row r="6" spans="1:16384" x14ac:dyDescent="0.25">
      <c r="B6" s="243" t="s">
        <v>180</v>
      </c>
      <c r="C6" s="244" t="s">
        <v>181</v>
      </c>
      <c r="D6" s="245" t="s">
        <v>126</v>
      </c>
      <c r="E6" s="245">
        <v>11204</v>
      </c>
      <c r="F6" s="245" t="s">
        <v>126</v>
      </c>
      <c r="G6" s="245" t="s">
        <v>126</v>
      </c>
      <c r="H6" s="245">
        <v>46</v>
      </c>
      <c r="I6" s="245">
        <v>15830</v>
      </c>
      <c r="J6" s="245">
        <v>79</v>
      </c>
      <c r="K6" s="245">
        <v>203</v>
      </c>
      <c r="L6" s="245" t="s">
        <v>182</v>
      </c>
      <c r="M6" s="246" t="s">
        <v>126</v>
      </c>
      <c r="N6" s="245" t="s">
        <v>126</v>
      </c>
      <c r="O6" s="245" t="s">
        <v>168</v>
      </c>
      <c r="P6" s="245" t="s">
        <v>168</v>
      </c>
    </row>
    <row r="7" spans="1:16384" x14ac:dyDescent="0.25">
      <c r="B7" s="247" t="s">
        <v>183</v>
      </c>
      <c r="C7" s="248" t="s">
        <v>184</v>
      </c>
      <c r="D7" s="249" t="s">
        <v>126</v>
      </c>
      <c r="E7" s="249">
        <v>7797</v>
      </c>
      <c r="F7" s="249" t="s">
        <v>126</v>
      </c>
      <c r="G7" s="249" t="s">
        <v>126</v>
      </c>
      <c r="H7" s="249">
        <v>24</v>
      </c>
      <c r="I7" s="249">
        <v>12199</v>
      </c>
      <c r="J7" s="249">
        <v>54</v>
      </c>
      <c r="K7" s="249">
        <v>203</v>
      </c>
      <c r="L7" s="249" t="s">
        <v>182</v>
      </c>
      <c r="M7" s="250" t="s">
        <v>126</v>
      </c>
      <c r="N7" s="249" t="s">
        <v>126</v>
      </c>
      <c r="O7" s="249" t="s">
        <v>168</v>
      </c>
      <c r="P7" s="249" t="s">
        <v>168</v>
      </c>
    </row>
    <row r="8" spans="1:16384" x14ac:dyDescent="0.25">
      <c r="B8" s="247" t="s">
        <v>185</v>
      </c>
      <c r="C8" s="248" t="s">
        <v>186</v>
      </c>
      <c r="D8" s="249" t="s">
        <v>126</v>
      </c>
      <c r="E8" s="249">
        <v>8327</v>
      </c>
      <c r="F8" s="249" t="s">
        <v>126</v>
      </c>
      <c r="G8" s="249" t="s">
        <v>126</v>
      </c>
      <c r="H8" s="249">
        <v>25</v>
      </c>
      <c r="I8" s="249">
        <v>12514</v>
      </c>
      <c r="J8" s="249">
        <v>69</v>
      </c>
      <c r="K8" s="249">
        <v>203</v>
      </c>
      <c r="L8" s="249" t="s">
        <v>182</v>
      </c>
      <c r="M8" s="250" t="s">
        <v>126</v>
      </c>
      <c r="N8" s="249" t="s">
        <v>126</v>
      </c>
      <c r="O8" s="249" t="s">
        <v>168</v>
      </c>
      <c r="P8" s="249" t="s">
        <v>168</v>
      </c>
    </row>
    <row r="9" spans="1:16384" x14ac:dyDescent="0.25">
      <c r="B9" s="247" t="s">
        <v>187</v>
      </c>
      <c r="C9" s="248" t="s">
        <v>188</v>
      </c>
      <c r="D9" s="249" t="s">
        <v>126</v>
      </c>
      <c r="E9" s="249">
        <v>6875</v>
      </c>
      <c r="F9" s="249" t="s">
        <v>126</v>
      </c>
      <c r="G9" s="249" t="s">
        <v>126</v>
      </c>
      <c r="H9" s="249">
        <v>14</v>
      </c>
      <c r="I9" s="249">
        <v>7849</v>
      </c>
      <c r="J9" s="249">
        <v>37</v>
      </c>
      <c r="K9" s="249">
        <v>203</v>
      </c>
      <c r="L9" s="249" t="s">
        <v>182</v>
      </c>
      <c r="M9" s="250" t="s">
        <v>126</v>
      </c>
      <c r="N9" s="249" t="s">
        <v>126</v>
      </c>
      <c r="O9" s="249" t="s">
        <v>168</v>
      </c>
      <c r="P9" s="249" t="s">
        <v>168</v>
      </c>
    </row>
    <row r="10" spans="1:16384" x14ac:dyDescent="0.25">
      <c r="B10" s="247" t="s">
        <v>189</v>
      </c>
      <c r="C10" s="248" t="s">
        <v>190</v>
      </c>
      <c r="D10" s="249" t="s">
        <v>126</v>
      </c>
      <c r="E10" s="249">
        <v>6639</v>
      </c>
      <c r="F10" s="249" t="s">
        <v>126</v>
      </c>
      <c r="G10" s="249" t="s">
        <v>126</v>
      </c>
      <c r="H10" s="249">
        <v>19</v>
      </c>
      <c r="I10" s="249">
        <v>8587</v>
      </c>
      <c r="J10" s="249">
        <v>49</v>
      </c>
      <c r="K10" s="249">
        <v>203</v>
      </c>
      <c r="L10" s="249" t="s">
        <v>182</v>
      </c>
      <c r="M10" s="250" t="s">
        <v>126</v>
      </c>
      <c r="N10" s="249" t="s">
        <v>126</v>
      </c>
      <c r="O10" s="249" t="s">
        <v>168</v>
      </c>
      <c r="P10" s="249" t="s">
        <v>168</v>
      </c>
    </row>
    <row r="11" spans="1:16384" x14ac:dyDescent="0.25">
      <c r="B11" s="247" t="s">
        <v>191</v>
      </c>
      <c r="C11" s="248" t="s">
        <v>192</v>
      </c>
      <c r="D11" s="249" t="s">
        <v>126</v>
      </c>
      <c r="E11" s="249">
        <v>5586</v>
      </c>
      <c r="F11" s="249" t="s">
        <v>126</v>
      </c>
      <c r="G11" s="249" t="s">
        <v>126</v>
      </c>
      <c r="H11" s="249">
        <v>14</v>
      </c>
      <c r="I11" s="249">
        <v>5728</v>
      </c>
      <c r="J11" s="249">
        <v>26</v>
      </c>
      <c r="K11" s="249">
        <v>203</v>
      </c>
      <c r="L11" s="249" t="s">
        <v>182</v>
      </c>
      <c r="M11" s="250" t="s">
        <v>126</v>
      </c>
      <c r="N11" s="249" t="s">
        <v>126</v>
      </c>
      <c r="O11" s="249" t="s">
        <v>168</v>
      </c>
      <c r="P11" s="249" t="s">
        <v>168</v>
      </c>
    </row>
    <row r="12" spans="1:16384" x14ac:dyDescent="0.25">
      <c r="B12" s="247" t="s">
        <v>193</v>
      </c>
      <c r="C12" s="248" t="s">
        <v>194</v>
      </c>
      <c r="D12" s="249" t="s">
        <v>126</v>
      </c>
      <c r="E12" s="249">
        <v>4488</v>
      </c>
      <c r="F12" s="249" t="s">
        <v>126</v>
      </c>
      <c r="G12" s="249" t="s">
        <v>126</v>
      </c>
      <c r="H12" s="249">
        <v>20</v>
      </c>
      <c r="I12" s="249">
        <v>7028</v>
      </c>
      <c r="J12" s="249">
        <v>48</v>
      </c>
      <c r="K12" s="249">
        <v>203</v>
      </c>
      <c r="L12" s="249" t="s">
        <v>182</v>
      </c>
      <c r="M12" s="250" t="s">
        <v>126</v>
      </c>
      <c r="N12" s="249" t="s">
        <v>126</v>
      </c>
      <c r="O12" s="249" t="s">
        <v>168</v>
      </c>
      <c r="P12" s="249" t="s">
        <v>168</v>
      </c>
    </row>
    <row r="13" spans="1:16384" x14ac:dyDescent="0.25">
      <c r="B13" s="247" t="s">
        <v>195</v>
      </c>
      <c r="C13" s="248" t="s">
        <v>196</v>
      </c>
      <c r="D13" s="249" t="s">
        <v>126</v>
      </c>
      <c r="E13" s="249">
        <v>2800</v>
      </c>
      <c r="F13" s="249" t="s">
        <v>126</v>
      </c>
      <c r="G13" s="249" t="s">
        <v>126</v>
      </c>
      <c r="H13" s="249">
        <v>15</v>
      </c>
      <c r="I13" s="249">
        <v>3859</v>
      </c>
      <c r="J13" s="249">
        <v>20</v>
      </c>
      <c r="K13" s="249">
        <v>203</v>
      </c>
      <c r="L13" s="249" t="s">
        <v>182</v>
      </c>
      <c r="M13" s="250" t="s">
        <v>126</v>
      </c>
      <c r="N13" s="249" t="s">
        <v>126</v>
      </c>
      <c r="O13" s="249" t="s">
        <v>168</v>
      </c>
      <c r="P13" s="249" t="s">
        <v>168</v>
      </c>
    </row>
    <row r="14" spans="1:16384" x14ac:dyDescent="0.25">
      <c r="B14" s="247" t="s">
        <v>197</v>
      </c>
      <c r="C14" s="248" t="s">
        <v>198</v>
      </c>
      <c r="D14" s="249" t="s">
        <v>126</v>
      </c>
      <c r="E14" s="249">
        <v>3839</v>
      </c>
      <c r="F14" s="249" t="s">
        <v>126</v>
      </c>
      <c r="G14" s="249" t="s">
        <v>126</v>
      </c>
      <c r="H14" s="249">
        <v>16</v>
      </c>
      <c r="I14" s="249">
        <v>5468</v>
      </c>
      <c r="J14" s="249">
        <v>33</v>
      </c>
      <c r="K14" s="249">
        <v>203</v>
      </c>
      <c r="L14" s="249" t="s">
        <v>182</v>
      </c>
      <c r="M14" s="250" t="s">
        <v>126</v>
      </c>
      <c r="N14" s="249" t="s">
        <v>126</v>
      </c>
      <c r="O14" s="249" t="s">
        <v>168</v>
      </c>
      <c r="P14" s="249" t="s">
        <v>168</v>
      </c>
    </row>
    <row r="15" spans="1:16384" ht="15.75" thickBot="1" x14ac:dyDescent="0.3">
      <c r="B15" s="251" t="s">
        <v>199</v>
      </c>
      <c r="C15" s="252" t="s">
        <v>200</v>
      </c>
      <c r="D15" s="253" t="s">
        <v>126</v>
      </c>
      <c r="E15" s="253">
        <v>2717</v>
      </c>
      <c r="F15" s="253" t="s">
        <v>126</v>
      </c>
      <c r="G15" s="253" t="s">
        <v>126</v>
      </c>
      <c r="H15" s="253">
        <v>9</v>
      </c>
      <c r="I15" s="253">
        <v>3728</v>
      </c>
      <c r="J15" s="253">
        <v>17</v>
      </c>
      <c r="K15" s="253">
        <v>203</v>
      </c>
      <c r="L15" s="253" t="s">
        <v>182</v>
      </c>
      <c r="M15" s="254" t="s">
        <v>126</v>
      </c>
      <c r="N15" s="253" t="s">
        <v>126</v>
      </c>
      <c r="O15" s="253" t="s">
        <v>168</v>
      </c>
      <c r="P15" s="253" t="s">
        <v>168</v>
      </c>
    </row>
  </sheetData>
  <conditionalFormatting sqref="H5 J5">
    <cfRule type="cellIs" dxfId="0" priority="1" stopIfTrue="1" operator="equal">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3"/>
  <sheetViews>
    <sheetView showGridLines="0" topLeftCell="A2" zoomScale="145" zoomScaleNormal="145" workbookViewId="0">
      <selection activeCell="G18" sqref="G18"/>
    </sheetView>
  </sheetViews>
  <sheetFormatPr defaultRowHeight="12.75" x14ac:dyDescent="0.2"/>
  <cols>
    <col min="1" max="1" width="27.42578125" style="225" customWidth="1"/>
    <col min="2" max="2" width="2.42578125" style="225" customWidth="1"/>
    <col min="3" max="16384" width="9.140625" style="225"/>
  </cols>
  <sheetData>
    <row r="1" spans="1:34" hidden="1" x14ac:dyDescent="0.2">
      <c r="A1" s="224" t="e">
        <f ca="1">DotStatQuery(B1)</f>
        <v>#NAME?</v>
      </c>
      <c r="B1" s="224" t="s">
        <v>149</v>
      </c>
    </row>
    <row r="2" spans="1:34" ht="34.5" x14ac:dyDescent="0.2">
      <c r="A2" s="226" t="s">
        <v>150</v>
      </c>
    </row>
    <row r="3" spans="1:34" ht="12.75" customHeight="1" x14ac:dyDescent="0.2">
      <c r="A3" s="433" t="s">
        <v>151</v>
      </c>
      <c r="B3" s="434"/>
      <c r="C3" s="428" t="s">
        <v>152</v>
      </c>
      <c r="D3" s="429"/>
      <c r="E3" s="429"/>
      <c r="F3" s="429"/>
      <c r="G3" s="429"/>
      <c r="H3" s="429"/>
      <c r="I3" s="429"/>
      <c r="J3" s="429"/>
      <c r="K3" s="429"/>
      <c r="L3" s="429"/>
      <c r="M3" s="429"/>
      <c r="N3" s="429"/>
      <c r="O3" s="429"/>
      <c r="P3" s="429"/>
      <c r="Q3" s="429"/>
      <c r="R3" s="429"/>
      <c r="S3" s="241"/>
      <c r="T3" s="241"/>
      <c r="U3" s="241"/>
      <c r="V3" s="241"/>
      <c r="W3" s="241"/>
      <c r="X3" s="241"/>
      <c r="Y3" s="241"/>
      <c r="Z3" s="241"/>
      <c r="AA3" s="241"/>
      <c r="AB3" s="241"/>
      <c r="AC3" s="241"/>
      <c r="AD3" s="241"/>
      <c r="AE3" s="241"/>
      <c r="AF3" s="241"/>
      <c r="AG3" s="241"/>
      <c r="AH3" s="241"/>
    </row>
    <row r="4" spans="1:34" ht="12.75" customHeight="1" x14ac:dyDescent="0.2">
      <c r="A4" s="435"/>
      <c r="B4" s="436"/>
      <c r="C4" s="439" t="s">
        <v>153</v>
      </c>
      <c r="D4" s="440"/>
      <c r="E4" s="440"/>
      <c r="F4" s="440"/>
      <c r="G4" s="440"/>
      <c r="H4" s="440"/>
      <c r="I4" s="440"/>
      <c r="J4" s="441"/>
      <c r="K4" s="439" t="s">
        <v>154</v>
      </c>
      <c r="L4" s="440"/>
      <c r="M4" s="440"/>
      <c r="N4" s="440"/>
      <c r="O4" s="440"/>
      <c r="P4" s="440"/>
      <c r="Q4" s="440"/>
      <c r="R4" s="441"/>
      <c r="S4" s="240"/>
      <c r="T4" s="240"/>
      <c r="U4" s="240"/>
      <c r="V4" s="240"/>
      <c r="W4" s="240"/>
      <c r="X4" s="240"/>
      <c r="Y4" s="240"/>
      <c r="Z4" s="240"/>
      <c r="AA4" s="240"/>
      <c r="AB4" s="240"/>
      <c r="AC4" s="240"/>
      <c r="AD4" s="240"/>
      <c r="AE4" s="240"/>
      <c r="AF4" s="240"/>
      <c r="AG4" s="240"/>
      <c r="AH4" s="240"/>
    </row>
    <row r="5" spans="1:34" ht="12.75" customHeight="1" x14ac:dyDescent="0.2">
      <c r="A5" s="437"/>
      <c r="B5" s="438"/>
      <c r="C5" s="442"/>
      <c r="D5" s="443"/>
      <c r="E5" s="443"/>
      <c r="F5" s="443"/>
      <c r="G5" s="443"/>
      <c r="H5" s="443"/>
      <c r="I5" s="443"/>
      <c r="J5" s="444"/>
      <c r="K5" s="442"/>
      <c r="L5" s="443"/>
      <c r="M5" s="443"/>
      <c r="N5" s="443"/>
      <c r="O5" s="443"/>
      <c r="P5" s="443"/>
      <c r="Q5" s="443"/>
      <c r="R5" s="444"/>
    </row>
    <row r="6" spans="1:34" x14ac:dyDescent="0.2">
      <c r="A6" s="430" t="s">
        <v>155</v>
      </c>
      <c r="B6" s="431"/>
      <c r="C6" s="227" t="s">
        <v>156</v>
      </c>
      <c r="D6" s="227" t="s">
        <v>157</v>
      </c>
      <c r="E6" s="227" t="s">
        <v>158</v>
      </c>
      <c r="F6" s="227" t="s">
        <v>159</v>
      </c>
      <c r="G6" s="227" t="s">
        <v>160</v>
      </c>
      <c r="H6" s="227" t="s">
        <v>161</v>
      </c>
      <c r="I6" s="227" t="s">
        <v>162</v>
      </c>
      <c r="J6" s="227" t="s">
        <v>163</v>
      </c>
      <c r="K6" s="227" t="s">
        <v>156</v>
      </c>
      <c r="L6" s="227" t="s">
        <v>157</v>
      </c>
      <c r="M6" s="227" t="s">
        <v>158</v>
      </c>
      <c r="N6" s="227" t="s">
        <v>159</v>
      </c>
      <c r="O6" s="227" t="s">
        <v>160</v>
      </c>
      <c r="P6" s="227" t="s">
        <v>161</v>
      </c>
      <c r="Q6" s="227" t="s">
        <v>162</v>
      </c>
      <c r="R6" s="227" t="s">
        <v>163</v>
      </c>
    </row>
    <row r="7" spans="1:34" ht="12.75" customHeight="1" x14ac:dyDescent="0.2">
      <c r="A7" s="430" t="s">
        <v>164</v>
      </c>
      <c r="B7" s="431"/>
      <c r="C7" s="428" t="s">
        <v>165</v>
      </c>
      <c r="D7" s="429"/>
      <c r="E7" s="429"/>
      <c r="F7" s="429"/>
      <c r="G7" s="429"/>
      <c r="H7" s="429"/>
      <c r="I7" s="429"/>
      <c r="J7" s="432"/>
      <c r="K7" s="428" t="s">
        <v>166</v>
      </c>
      <c r="L7" s="429"/>
      <c r="M7" s="429"/>
      <c r="N7" s="429"/>
      <c r="O7" s="429"/>
      <c r="P7" s="429"/>
      <c r="Q7" s="429"/>
      <c r="R7" s="432"/>
    </row>
    <row r="8" spans="1:34" ht="13.5" x14ac:dyDescent="0.25">
      <c r="A8" s="228" t="s">
        <v>167</v>
      </c>
      <c r="B8" s="229" t="s">
        <v>168</v>
      </c>
      <c r="C8" s="229" t="s">
        <v>168</v>
      </c>
      <c r="D8" s="229" t="s">
        <v>168</v>
      </c>
      <c r="E8" s="229" t="s">
        <v>168</v>
      </c>
      <c r="F8" s="229" t="s">
        <v>168</v>
      </c>
      <c r="G8" s="229" t="s">
        <v>168</v>
      </c>
      <c r="H8" s="229" t="s">
        <v>168</v>
      </c>
      <c r="I8" s="229" t="s">
        <v>168</v>
      </c>
      <c r="J8" s="229" t="s">
        <v>168</v>
      </c>
      <c r="K8" s="229" t="s">
        <v>168</v>
      </c>
      <c r="L8" s="229" t="s">
        <v>168</v>
      </c>
      <c r="M8" s="229" t="s">
        <v>168</v>
      </c>
      <c r="N8" s="229" t="s">
        <v>168</v>
      </c>
      <c r="O8" s="229" t="s">
        <v>168</v>
      </c>
      <c r="P8" s="229" t="s">
        <v>168</v>
      </c>
      <c r="Q8" s="229" t="s">
        <v>168</v>
      </c>
      <c r="R8" s="229" t="s">
        <v>168</v>
      </c>
    </row>
    <row r="9" spans="1:34" ht="13.5" x14ac:dyDescent="0.25">
      <c r="A9" s="230" t="s">
        <v>169</v>
      </c>
      <c r="B9" s="229" t="s">
        <v>168</v>
      </c>
      <c r="C9" s="231">
        <v>0.81</v>
      </c>
      <c r="D9" s="231">
        <v>0.80400000000000005</v>
      </c>
      <c r="E9" s="231">
        <v>0.78900000000000003</v>
      </c>
      <c r="F9" s="231">
        <v>0.78700000000000003</v>
      </c>
      <c r="G9" s="231">
        <v>0.77500000000000002</v>
      </c>
      <c r="H9" s="231">
        <v>0.76700000000000002</v>
      </c>
      <c r="I9" s="231">
        <v>0.77400000000000002</v>
      </c>
      <c r="J9" s="231">
        <v>0.77400000000000002</v>
      </c>
      <c r="K9" s="231">
        <v>110</v>
      </c>
      <c r="L9" s="231">
        <v>104</v>
      </c>
      <c r="M9" s="231">
        <v>104</v>
      </c>
      <c r="N9" s="231">
        <v>100</v>
      </c>
      <c r="O9" s="231">
        <v>104</v>
      </c>
      <c r="P9" s="231">
        <v>105</v>
      </c>
      <c r="Q9" s="231">
        <v>97</v>
      </c>
      <c r="R9" s="231">
        <v>98</v>
      </c>
    </row>
    <row r="10" spans="1:34" ht="13.5" x14ac:dyDescent="0.25">
      <c r="A10" s="230" t="s">
        <v>170</v>
      </c>
      <c r="B10" s="229" t="s">
        <v>168</v>
      </c>
      <c r="C10" s="232">
        <v>0.70899999999999996</v>
      </c>
      <c r="D10" s="232">
        <v>0.70099999999999996</v>
      </c>
      <c r="E10" s="232">
        <v>0.70599999999999996</v>
      </c>
      <c r="F10" s="232">
        <v>0.70199999999999996</v>
      </c>
      <c r="G10" s="232">
        <v>0.69499999999999995</v>
      </c>
      <c r="H10" s="232">
        <v>0.69299999999999995</v>
      </c>
      <c r="I10" s="232">
        <v>0.68799999999999994</v>
      </c>
      <c r="J10" s="232">
        <v>0.69</v>
      </c>
      <c r="K10" s="232">
        <v>108</v>
      </c>
      <c r="L10" s="232">
        <v>106</v>
      </c>
      <c r="M10" s="232">
        <v>108</v>
      </c>
      <c r="N10" s="232">
        <v>109</v>
      </c>
      <c r="O10" s="232">
        <v>110</v>
      </c>
      <c r="P10" s="232">
        <v>117</v>
      </c>
      <c r="Q10" s="232">
        <v>119</v>
      </c>
      <c r="R10" s="232">
        <v>106</v>
      </c>
    </row>
    <row r="11" spans="1:34" ht="13.5" x14ac:dyDescent="0.25">
      <c r="A11" s="230" t="s">
        <v>171</v>
      </c>
      <c r="B11" s="229" t="s">
        <v>168</v>
      </c>
      <c r="C11" s="231">
        <v>1</v>
      </c>
      <c r="D11" s="231">
        <v>1</v>
      </c>
      <c r="E11" s="231">
        <v>1</v>
      </c>
      <c r="F11" s="231">
        <v>1</v>
      </c>
      <c r="G11" s="231">
        <v>1</v>
      </c>
      <c r="H11" s="231">
        <v>1</v>
      </c>
      <c r="I11" s="231">
        <v>1</v>
      </c>
      <c r="J11" s="231">
        <v>1</v>
      </c>
      <c r="K11" s="231">
        <v>98</v>
      </c>
      <c r="L11" s="231">
        <v>98</v>
      </c>
      <c r="M11" s="231">
        <v>95</v>
      </c>
      <c r="N11" s="231">
        <v>99</v>
      </c>
      <c r="O11" s="231">
        <v>102</v>
      </c>
      <c r="P11" s="231">
        <v>103</v>
      </c>
      <c r="Q11" s="231">
        <v>113</v>
      </c>
      <c r="R11" s="231">
        <v>114</v>
      </c>
    </row>
    <row r="12" spans="1:34" ht="13.5" x14ac:dyDescent="0.25">
      <c r="A12" s="230" t="s">
        <v>172</v>
      </c>
      <c r="B12" s="229" t="s">
        <v>168</v>
      </c>
      <c r="C12" s="232">
        <v>0.79400000000000004</v>
      </c>
      <c r="D12" s="232">
        <v>0.79100000000000004</v>
      </c>
      <c r="E12" s="232">
        <v>0.78</v>
      </c>
      <c r="F12" s="232">
        <v>0.77400000000000002</v>
      </c>
      <c r="G12" s="232">
        <v>0.755</v>
      </c>
      <c r="H12" s="232">
        <v>0.75</v>
      </c>
      <c r="I12" s="232">
        <v>0.75</v>
      </c>
      <c r="J12" s="232">
        <v>0.748</v>
      </c>
      <c r="K12" s="232">
        <v>108</v>
      </c>
      <c r="L12" s="232">
        <v>103</v>
      </c>
      <c r="M12" s="232">
        <v>103</v>
      </c>
      <c r="N12" s="232">
        <v>98</v>
      </c>
      <c r="O12" s="232">
        <v>102</v>
      </c>
      <c r="P12" s="232">
        <v>102</v>
      </c>
      <c r="Q12" s="232">
        <v>94</v>
      </c>
      <c r="R12" s="232">
        <v>94</v>
      </c>
    </row>
    <row r="13" spans="1:34" x14ac:dyDescent="0.2">
      <c r="A13" s="233" t="s">
        <v>173</v>
      </c>
    </row>
  </sheetData>
  <mergeCells count="8">
    <mergeCell ref="C3:R3"/>
    <mergeCell ref="A6:B6"/>
    <mergeCell ref="A7:B7"/>
    <mergeCell ref="C7:J7"/>
    <mergeCell ref="K7:R7"/>
    <mergeCell ref="A3:B5"/>
    <mergeCell ref="C4:J5"/>
    <mergeCell ref="K4:R5"/>
  </mergeCells>
  <hyperlinks>
    <hyperlink ref="A2" r:id="rId1" tooltip="Click once to display linked information. Click and hold to select this cell." display="http://localhost/OECDStat_Metadata/ShowMetadata.ashx?Dataset=PPPGDP&amp;ShowOnWeb=true&amp;Lang=en"/>
    <hyperlink ref="A13" r:id="rId2" tooltip="Click once to display linked information. Click and hold to select this cell." display="http://stats.oecd.org/"/>
  </hyperlinks>
  <pageMargins left="0.75" right="0.75" top="1" bottom="1" header="0.5" footer="0.5"/>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E46"/>
  <sheetViews>
    <sheetView workbookViewId="0">
      <selection activeCell="C24" sqref="C24"/>
    </sheetView>
  </sheetViews>
  <sheetFormatPr defaultRowHeight="15" x14ac:dyDescent="0.25"/>
  <cols>
    <col min="2" max="2" width="11.42578125" bestFit="1" customWidth="1"/>
    <col min="3" max="3" width="68.42578125" bestFit="1" customWidth="1"/>
    <col min="4" max="4" width="9" bestFit="1" customWidth="1"/>
    <col min="5" max="5" width="7" bestFit="1" customWidth="1"/>
  </cols>
  <sheetData>
    <row r="3" spans="1:5" x14ac:dyDescent="0.25">
      <c r="B3" s="144" t="s">
        <v>36</v>
      </c>
      <c r="C3" s="145">
        <v>1.1000000000000001</v>
      </c>
      <c r="D3" s="146">
        <v>2149</v>
      </c>
      <c r="E3" s="147">
        <v>7.7789669613773844</v>
      </c>
    </row>
    <row r="4" spans="1:5" x14ac:dyDescent="0.25">
      <c r="B4" s="144" t="s">
        <v>37</v>
      </c>
      <c r="C4" t="s">
        <v>38</v>
      </c>
      <c r="D4" s="148"/>
      <c r="E4" s="148"/>
    </row>
    <row r="5" spans="1:5" ht="45" x14ac:dyDescent="0.25">
      <c r="B5" s="149" t="s">
        <v>39</v>
      </c>
      <c r="C5" s="150" t="s">
        <v>40</v>
      </c>
      <c r="D5" s="150" t="s">
        <v>41</v>
      </c>
      <c r="E5" s="150" t="s">
        <v>42</v>
      </c>
    </row>
    <row r="6" spans="1:5" x14ac:dyDescent="0.25">
      <c r="A6" s="151" t="s">
        <v>49</v>
      </c>
      <c r="B6" s="151"/>
      <c r="C6" s="152" t="s">
        <v>50</v>
      </c>
      <c r="D6" s="153" t="s">
        <v>51</v>
      </c>
      <c r="E6" s="154">
        <v>7</v>
      </c>
    </row>
    <row r="7" spans="1:5" x14ac:dyDescent="0.25">
      <c r="A7" s="151" t="s">
        <v>54</v>
      </c>
      <c r="B7" s="151"/>
      <c r="C7" s="152" t="s">
        <v>55</v>
      </c>
      <c r="D7" s="153" t="s">
        <v>51</v>
      </c>
      <c r="E7" s="154">
        <v>2</v>
      </c>
    </row>
    <row r="8" spans="1:5" x14ac:dyDescent="0.25">
      <c r="A8" s="151" t="s">
        <v>56</v>
      </c>
      <c r="B8" s="151"/>
      <c r="C8" s="152" t="s">
        <v>57</v>
      </c>
      <c r="D8" s="153" t="s">
        <v>51</v>
      </c>
      <c r="E8" s="154">
        <v>10</v>
      </c>
    </row>
    <row r="9" spans="1:5" x14ac:dyDescent="0.25">
      <c r="A9" s="151" t="s">
        <v>58</v>
      </c>
      <c r="B9" s="151"/>
      <c r="C9" s="152" t="s">
        <v>59</v>
      </c>
      <c r="D9" s="153" t="s">
        <v>51</v>
      </c>
      <c r="E9" s="154">
        <v>3</v>
      </c>
    </row>
    <row r="10" spans="1:5" x14ac:dyDescent="0.25">
      <c r="A10" s="151" t="s">
        <v>62</v>
      </c>
      <c r="B10" s="151"/>
      <c r="C10" s="152" t="s">
        <v>63</v>
      </c>
      <c r="D10" s="153" t="s">
        <v>51</v>
      </c>
      <c r="E10" s="154">
        <v>0</v>
      </c>
    </row>
    <row r="11" spans="1:5" x14ac:dyDescent="0.25">
      <c r="A11" s="151" t="s">
        <v>68</v>
      </c>
      <c r="B11" s="151"/>
      <c r="C11" s="152" t="s">
        <v>69</v>
      </c>
      <c r="D11" s="153" t="s">
        <v>51</v>
      </c>
      <c r="E11" s="154">
        <v>1.6666666666666667</v>
      </c>
    </row>
    <row r="12" spans="1:5" x14ac:dyDescent="0.25">
      <c r="A12" s="151" t="s">
        <v>74</v>
      </c>
      <c r="B12" s="151"/>
      <c r="C12" s="152" t="s">
        <v>75</v>
      </c>
      <c r="D12" s="153" t="s">
        <v>51</v>
      </c>
      <c r="E12" s="154">
        <v>0</v>
      </c>
    </row>
    <row r="13" spans="1:5" x14ac:dyDescent="0.25">
      <c r="A13" s="151" t="s">
        <v>76</v>
      </c>
      <c r="B13" s="151"/>
      <c r="C13" s="152" t="s">
        <v>77</v>
      </c>
      <c r="D13" s="153" t="s">
        <v>51</v>
      </c>
      <c r="E13" s="154">
        <v>4.333333333333333</v>
      </c>
    </row>
    <row r="14" spans="1:5" x14ac:dyDescent="0.25">
      <c r="A14" s="151" t="s">
        <v>80</v>
      </c>
      <c r="B14" s="151"/>
      <c r="C14" s="152" t="s">
        <v>81</v>
      </c>
      <c r="D14" s="153" t="s">
        <v>51</v>
      </c>
      <c r="E14" s="154">
        <v>1</v>
      </c>
    </row>
    <row r="15" spans="1:5" x14ac:dyDescent="0.25">
      <c r="A15" s="151" t="s">
        <v>94</v>
      </c>
      <c r="B15" s="151"/>
      <c r="C15" s="152" t="s">
        <v>95</v>
      </c>
      <c r="D15" s="153" t="s">
        <v>51</v>
      </c>
      <c r="E15" s="154">
        <v>13.5</v>
      </c>
    </row>
    <row r="16" spans="1:5" x14ac:dyDescent="0.25">
      <c r="A16" s="151" t="s">
        <v>102</v>
      </c>
      <c r="B16" s="151"/>
      <c r="C16" s="152" t="s">
        <v>103</v>
      </c>
      <c r="D16" s="153" t="s">
        <v>51</v>
      </c>
      <c r="E16" s="154">
        <v>4</v>
      </c>
    </row>
    <row r="17" spans="1:5" x14ac:dyDescent="0.25">
      <c r="A17" s="151" t="s">
        <v>106</v>
      </c>
      <c r="B17" s="151"/>
      <c r="C17" s="152" t="s">
        <v>107</v>
      </c>
      <c r="D17" s="153" t="s">
        <v>51</v>
      </c>
      <c r="E17" s="154">
        <v>1</v>
      </c>
    </row>
    <row r="18" spans="1:5" x14ac:dyDescent="0.25">
      <c r="A18" s="151" t="s">
        <v>114</v>
      </c>
      <c r="B18" s="151"/>
      <c r="C18" s="152" t="s">
        <v>115</v>
      </c>
      <c r="D18" s="153" t="s">
        <v>51</v>
      </c>
      <c r="E18" s="154">
        <v>2</v>
      </c>
    </row>
    <row r="19" spans="1:5" x14ac:dyDescent="0.25">
      <c r="A19" s="151" t="s">
        <v>118</v>
      </c>
      <c r="B19" s="151"/>
      <c r="C19" s="152" t="s">
        <v>119</v>
      </c>
      <c r="D19" s="153" t="s">
        <v>51</v>
      </c>
      <c r="E19" s="154">
        <v>4</v>
      </c>
    </row>
    <row r="20" spans="1:5" x14ac:dyDescent="0.25">
      <c r="B20" s="151" t="s">
        <v>100</v>
      </c>
      <c r="C20" s="152" t="s">
        <v>101</v>
      </c>
      <c r="D20" s="153">
        <v>178</v>
      </c>
      <c r="E20" s="154">
        <v>9.0561797752808992</v>
      </c>
    </row>
    <row r="21" spans="1:5" x14ac:dyDescent="0.25">
      <c r="B21" s="151" t="s">
        <v>78</v>
      </c>
      <c r="C21" s="152" t="s">
        <v>79</v>
      </c>
      <c r="D21" s="153">
        <v>177</v>
      </c>
      <c r="E21" s="154">
        <v>8.5593220338983045</v>
      </c>
    </row>
    <row r="22" spans="1:5" x14ac:dyDescent="0.25">
      <c r="B22" s="151" t="s">
        <v>52</v>
      </c>
      <c r="C22" s="152" t="s">
        <v>53</v>
      </c>
      <c r="D22" s="153">
        <v>147</v>
      </c>
      <c r="E22" s="154">
        <v>9.0068027210884356</v>
      </c>
    </row>
    <row r="23" spans="1:5" x14ac:dyDescent="0.25">
      <c r="B23" s="151" t="s">
        <v>96</v>
      </c>
      <c r="C23" s="152" t="s">
        <v>97</v>
      </c>
      <c r="D23" s="153">
        <v>145</v>
      </c>
      <c r="E23" s="154">
        <v>7.8965517241379306</v>
      </c>
    </row>
    <row r="24" spans="1:5" x14ac:dyDescent="0.25">
      <c r="B24" s="151" t="s">
        <v>88</v>
      </c>
      <c r="C24" s="152" t="s">
        <v>89</v>
      </c>
      <c r="D24" s="153">
        <v>143</v>
      </c>
      <c r="E24" s="154">
        <v>7.1888111888111892</v>
      </c>
    </row>
    <row r="25" spans="1:5" x14ac:dyDescent="0.25">
      <c r="B25" s="151" t="s">
        <v>70</v>
      </c>
      <c r="C25" s="152" t="s">
        <v>71</v>
      </c>
      <c r="D25" s="153">
        <v>111</v>
      </c>
      <c r="E25" s="154">
        <v>7.3873873873873874</v>
      </c>
    </row>
    <row r="26" spans="1:5" x14ac:dyDescent="0.25">
      <c r="B26" s="151" t="s">
        <v>120</v>
      </c>
      <c r="C26" s="152" t="s">
        <v>121</v>
      </c>
      <c r="D26" s="153">
        <v>110</v>
      </c>
      <c r="E26" s="154">
        <v>9.327272727272728</v>
      </c>
    </row>
    <row r="27" spans="1:5" x14ac:dyDescent="0.25">
      <c r="B27" s="151" t="s">
        <v>110</v>
      </c>
      <c r="C27" s="152" t="s">
        <v>111</v>
      </c>
      <c r="D27" s="153">
        <v>98</v>
      </c>
      <c r="E27" s="154">
        <v>5</v>
      </c>
    </row>
    <row r="28" spans="1:5" x14ac:dyDescent="0.25">
      <c r="B28" s="151" t="s">
        <v>82</v>
      </c>
      <c r="C28" s="152" t="s">
        <v>83</v>
      </c>
      <c r="D28" s="153">
        <v>89</v>
      </c>
      <c r="E28" s="154">
        <v>7.9550561797752808</v>
      </c>
    </row>
    <row r="29" spans="1:5" x14ac:dyDescent="0.25">
      <c r="B29" s="151" t="s">
        <v>45</v>
      </c>
      <c r="C29" s="152" t="s">
        <v>46</v>
      </c>
      <c r="D29" s="153">
        <v>86</v>
      </c>
      <c r="E29" s="154">
        <v>5.6511627906976747</v>
      </c>
    </row>
    <row r="30" spans="1:5" x14ac:dyDescent="0.25">
      <c r="B30" s="151" t="s">
        <v>124</v>
      </c>
      <c r="C30" s="152" t="s">
        <v>125</v>
      </c>
      <c r="D30" s="153">
        <v>82</v>
      </c>
      <c r="E30" s="154">
        <v>9.8536585365853657</v>
      </c>
    </row>
    <row r="31" spans="1:5" x14ac:dyDescent="0.25">
      <c r="B31" s="151" t="s">
        <v>104</v>
      </c>
      <c r="C31" s="152" t="s">
        <v>105</v>
      </c>
      <c r="D31" s="153">
        <v>77</v>
      </c>
      <c r="E31" s="154">
        <v>10.142857142857142</v>
      </c>
    </row>
    <row r="32" spans="1:5" x14ac:dyDescent="0.25">
      <c r="B32" s="151" t="s">
        <v>112</v>
      </c>
      <c r="C32" s="152" t="s">
        <v>113</v>
      </c>
      <c r="D32" s="153">
        <v>77</v>
      </c>
      <c r="E32" s="154">
        <v>9.6363636363636367</v>
      </c>
    </row>
    <row r="33" spans="2:5" x14ac:dyDescent="0.25">
      <c r="B33" s="151" t="s">
        <v>60</v>
      </c>
      <c r="C33" s="152" t="s">
        <v>61</v>
      </c>
      <c r="D33" s="153">
        <v>72</v>
      </c>
      <c r="E33" s="154">
        <v>2.0277777777777777</v>
      </c>
    </row>
    <row r="34" spans="2:5" x14ac:dyDescent="0.25">
      <c r="B34" s="151" t="s">
        <v>116</v>
      </c>
      <c r="C34" s="152" t="s">
        <v>117</v>
      </c>
      <c r="D34" s="153">
        <v>71</v>
      </c>
      <c r="E34" s="154">
        <v>10.830985915492958</v>
      </c>
    </row>
    <row r="35" spans="2:5" x14ac:dyDescent="0.25">
      <c r="B35" s="151" t="s">
        <v>72</v>
      </c>
      <c r="C35" s="152" t="s">
        <v>73</v>
      </c>
      <c r="D35" s="153">
        <v>65</v>
      </c>
      <c r="E35" s="154">
        <v>8.476923076923077</v>
      </c>
    </row>
    <row r="36" spans="2:5" x14ac:dyDescent="0.25">
      <c r="B36" s="151" t="s">
        <v>108</v>
      </c>
      <c r="C36" s="152" t="s">
        <v>109</v>
      </c>
      <c r="D36" s="153">
        <v>65</v>
      </c>
      <c r="E36" s="154">
        <v>6.1230769230769226</v>
      </c>
    </row>
    <row r="37" spans="2:5" x14ac:dyDescent="0.25">
      <c r="B37" s="151" t="s">
        <v>43</v>
      </c>
      <c r="C37" s="152" t="s">
        <v>44</v>
      </c>
      <c r="D37" s="153">
        <v>52</v>
      </c>
      <c r="E37" s="154">
        <v>11.326923076923077</v>
      </c>
    </row>
    <row r="38" spans="2:5" x14ac:dyDescent="0.25">
      <c r="B38" s="151" t="s">
        <v>47</v>
      </c>
      <c r="C38" s="152" t="s">
        <v>48</v>
      </c>
      <c r="D38" s="153">
        <v>50</v>
      </c>
      <c r="E38" s="154">
        <v>7.62</v>
      </c>
    </row>
    <row r="39" spans="2:5" x14ac:dyDescent="0.25">
      <c r="B39" s="151" t="s">
        <v>84</v>
      </c>
      <c r="C39" s="152" t="s">
        <v>85</v>
      </c>
      <c r="D39" s="153">
        <v>48</v>
      </c>
      <c r="E39" s="154">
        <v>0.66666666666666663</v>
      </c>
    </row>
    <row r="40" spans="2:5" x14ac:dyDescent="0.25">
      <c r="B40" s="151" t="s">
        <v>90</v>
      </c>
      <c r="C40" s="152" t="s">
        <v>91</v>
      </c>
      <c r="D40" s="153">
        <v>47</v>
      </c>
      <c r="E40" s="154">
        <v>16.553191489361701</v>
      </c>
    </row>
    <row r="41" spans="2:5" x14ac:dyDescent="0.25">
      <c r="B41" s="151" t="s">
        <v>66</v>
      </c>
      <c r="C41" s="152" t="s">
        <v>67</v>
      </c>
      <c r="D41" s="153">
        <v>42</v>
      </c>
      <c r="E41" s="154">
        <v>11.80952380952381</v>
      </c>
    </row>
    <row r="42" spans="2:5" x14ac:dyDescent="0.25">
      <c r="B42" s="151" t="s">
        <v>122</v>
      </c>
      <c r="C42" s="152" t="s">
        <v>123</v>
      </c>
      <c r="D42" s="153">
        <v>41</v>
      </c>
      <c r="E42" s="154">
        <v>1</v>
      </c>
    </row>
    <row r="43" spans="2:5" x14ac:dyDescent="0.25">
      <c r="B43" s="151" t="s">
        <v>64</v>
      </c>
      <c r="C43" s="152" t="s">
        <v>65</v>
      </c>
      <c r="D43" s="153">
        <v>21</v>
      </c>
      <c r="E43" s="154">
        <v>7.2380952380952381</v>
      </c>
    </row>
    <row r="44" spans="2:5" x14ac:dyDescent="0.25">
      <c r="B44" s="151" t="s">
        <v>86</v>
      </c>
      <c r="C44" s="152" t="s">
        <v>87</v>
      </c>
      <c r="D44" s="153">
        <v>19</v>
      </c>
      <c r="E44" s="154">
        <v>1.736842105263158</v>
      </c>
    </row>
    <row r="45" spans="2:5" x14ac:dyDescent="0.25">
      <c r="B45" s="151" t="s">
        <v>98</v>
      </c>
      <c r="C45" s="152" t="s">
        <v>99</v>
      </c>
      <c r="D45" s="153">
        <v>10</v>
      </c>
      <c r="E45" s="154">
        <v>7.4</v>
      </c>
    </row>
    <row r="46" spans="2:5" x14ac:dyDescent="0.25">
      <c r="B46" s="151" t="s">
        <v>92</v>
      </c>
      <c r="C46" s="152" t="s">
        <v>93</v>
      </c>
      <c r="D46" s="153">
        <v>6</v>
      </c>
      <c r="E46" s="154">
        <v>6.666666666666667</v>
      </c>
    </row>
  </sheetData>
  <autoFilter ref="B5:E5">
    <sortState ref="B6:E46">
      <sortCondition descending="1" ref="D5"/>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1.Cover page</vt:lpstr>
      <vt:lpstr>Unit costs</vt:lpstr>
      <vt:lpstr>Input sheet</vt:lpstr>
      <vt:lpstr>Costing template</vt:lpstr>
      <vt:lpstr>Costing report</vt:lpstr>
      <vt:lpstr>Average cost reported all</vt:lpstr>
      <vt:lpstr>PHLF cost breakdown</vt:lpstr>
      <vt:lpstr>Cost pool breakdown</vt:lpstr>
      <vt:lpstr>Sensitivity analysis</vt:lpstr>
      <vt:lpstr>Savings per category</vt:lpstr>
      <vt:lpstr>HRG tariff</vt:lpstr>
      <vt:lpstr>OECD.Stat export</vt:lpstr>
      <vt:lpstr>Reference</vt:lpstr>
      <vt:lpstr>HES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WeiChe Lin</dc:creator>
  <cp:lastModifiedBy>WeiChe Lin</cp:lastModifiedBy>
  <dcterms:created xsi:type="dcterms:W3CDTF">2017-06-27T08:26:52Z</dcterms:created>
  <dcterms:modified xsi:type="dcterms:W3CDTF">2017-07-21T14:25:32Z</dcterms:modified>
</cp:coreProperties>
</file>